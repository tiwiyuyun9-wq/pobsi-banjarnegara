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ackup FD Aan\POBSI\"/>
    </mc:Choice>
  </mc:AlternateContent>
  <xr:revisionPtr revIDLastSave="0" documentId="13_ncr:1_{E9E32C60-84BD-4B95-8012-E583229B5E68}" xr6:coauthVersionLast="47" xr6:coauthVersionMax="47" xr10:uidLastSave="{00000000-0000-0000-0000-000000000000}"/>
  <bookViews>
    <workbookView xWindow="-120" yWindow="-120" windowWidth="20730" windowHeight="11160" xr2:uid="{3870955C-F8C6-44FF-8340-753D2C8DCED1}"/>
  </bookViews>
  <sheets>
    <sheet name="Group Stage" sheetId="3" r:id="rId1"/>
    <sheet name="Final Ro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2" i="2" l="1"/>
  <c r="N22" i="2"/>
  <c r="P22" i="2" s="1"/>
  <c r="AB52" i="3"/>
  <c r="AA52" i="3"/>
  <c r="Y52" i="3"/>
  <c r="X52" i="3"/>
  <c r="AB51" i="3"/>
  <c r="AA51" i="3"/>
  <c r="Y51" i="3"/>
  <c r="X51" i="3"/>
  <c r="AB50" i="3"/>
  <c r="AA50" i="3"/>
  <c r="Y50" i="3"/>
  <c r="X50" i="3"/>
  <c r="AB49" i="3"/>
  <c r="AA49" i="3"/>
  <c r="Y49" i="3"/>
  <c r="X49" i="3"/>
  <c r="U52" i="3"/>
  <c r="T52" i="3"/>
  <c r="R52" i="3"/>
  <c r="Q52" i="3"/>
  <c r="U51" i="3"/>
  <c r="T51" i="3"/>
  <c r="R51" i="3"/>
  <c r="Q51" i="3"/>
  <c r="U50" i="3"/>
  <c r="T50" i="3"/>
  <c r="R50" i="3"/>
  <c r="Q50" i="3"/>
  <c r="U49" i="3"/>
  <c r="T49" i="3"/>
  <c r="R49" i="3"/>
  <c r="Q49" i="3"/>
  <c r="N52" i="3"/>
  <c r="M52" i="3"/>
  <c r="K52" i="3"/>
  <c r="J52" i="3"/>
  <c r="N51" i="3"/>
  <c r="M51" i="3"/>
  <c r="K51" i="3"/>
  <c r="J51" i="3"/>
  <c r="N50" i="3"/>
  <c r="M50" i="3"/>
  <c r="K50" i="3"/>
  <c r="J50" i="3"/>
  <c r="N49" i="3"/>
  <c r="M49" i="3"/>
  <c r="K49" i="3"/>
  <c r="J49" i="3"/>
  <c r="P26" i="2" l="1"/>
  <c r="C20" i="3"/>
  <c r="D20" i="3"/>
  <c r="F20" i="3"/>
  <c r="G20" i="3"/>
  <c r="E52" i="3" s="1"/>
  <c r="C24" i="3"/>
  <c r="D24" i="3"/>
  <c r="F24" i="3"/>
  <c r="G24" i="3"/>
  <c r="C28" i="3"/>
  <c r="D28" i="3"/>
  <c r="F28" i="3"/>
  <c r="G28" i="3"/>
  <c r="E51" i="3" s="1"/>
  <c r="E49" i="3"/>
  <c r="F52" i="3"/>
  <c r="F51" i="3"/>
  <c r="F50" i="3"/>
  <c r="F49" i="3"/>
  <c r="X10" i="3"/>
  <c r="Y9" i="3"/>
  <c r="X9" i="3"/>
  <c r="Z8" i="3"/>
  <c r="Y8" i="3"/>
  <c r="X8" i="3"/>
  <c r="AA7" i="3"/>
  <c r="Z7" i="3"/>
  <c r="Y7" i="3"/>
  <c r="X7" i="3"/>
  <c r="Q10" i="3"/>
  <c r="R9" i="3"/>
  <c r="Q9" i="3"/>
  <c r="S8" i="3"/>
  <c r="R8" i="3"/>
  <c r="Q8" i="3"/>
  <c r="T7" i="3"/>
  <c r="S7" i="3"/>
  <c r="R7" i="3"/>
  <c r="Q7" i="3"/>
  <c r="J10" i="3"/>
  <c r="K9" i="3"/>
  <c r="J9" i="3"/>
  <c r="L8" i="3"/>
  <c r="K8" i="3"/>
  <c r="J8" i="3"/>
  <c r="M7" i="3"/>
  <c r="L7" i="3"/>
  <c r="K7" i="3"/>
  <c r="J7" i="3"/>
  <c r="D8" i="3"/>
  <c r="D9" i="3"/>
  <c r="F7" i="3"/>
  <c r="E7" i="3"/>
  <c r="E8" i="3"/>
  <c r="D7" i="3"/>
  <c r="C10" i="3"/>
  <c r="C9" i="3"/>
  <c r="C8" i="3"/>
  <c r="C7" i="3"/>
  <c r="G52" i="3"/>
  <c r="G51" i="3"/>
  <c r="G50" i="3"/>
  <c r="G49" i="3"/>
  <c r="D52" i="3"/>
  <c r="D51" i="3"/>
  <c r="D50" i="3"/>
  <c r="D49" i="3"/>
  <c r="AB28" i="3"/>
  <c r="AA28" i="3"/>
  <c r="Y28" i="3"/>
  <c r="X28" i="3"/>
  <c r="AB26" i="3"/>
  <c r="AA26" i="3"/>
  <c r="Y26" i="3"/>
  <c r="X26" i="3"/>
  <c r="AB24" i="3"/>
  <c r="AA24" i="3"/>
  <c r="Y24" i="3"/>
  <c r="X24" i="3"/>
  <c r="AB22" i="3"/>
  <c r="AA22" i="3"/>
  <c r="Y22" i="3"/>
  <c r="X22" i="3"/>
  <c r="AB20" i="3"/>
  <c r="AA20" i="3"/>
  <c r="Y20" i="3"/>
  <c r="X20" i="3"/>
  <c r="Z49" i="3" s="1"/>
  <c r="AB18" i="3"/>
  <c r="AA18" i="3"/>
  <c r="Y18" i="3"/>
  <c r="X18" i="3"/>
  <c r="U28" i="3"/>
  <c r="T28" i="3"/>
  <c r="R28" i="3"/>
  <c r="Q28" i="3"/>
  <c r="U26" i="3"/>
  <c r="T26" i="3"/>
  <c r="R26" i="3"/>
  <c r="Q26" i="3"/>
  <c r="U24" i="3"/>
  <c r="T24" i="3"/>
  <c r="R24" i="3"/>
  <c r="Q24" i="3"/>
  <c r="U22" i="3"/>
  <c r="T22" i="3"/>
  <c r="R22" i="3"/>
  <c r="Q22" i="3"/>
  <c r="U20" i="3"/>
  <c r="T20" i="3"/>
  <c r="R20" i="3"/>
  <c r="Q20" i="3"/>
  <c r="S49" i="3" s="1"/>
  <c r="U18" i="3"/>
  <c r="T18" i="3"/>
  <c r="R18" i="3"/>
  <c r="Q18" i="3"/>
  <c r="N28" i="3"/>
  <c r="M28" i="3"/>
  <c r="K28" i="3"/>
  <c r="J28" i="3"/>
  <c r="N26" i="3"/>
  <c r="M26" i="3"/>
  <c r="K26" i="3"/>
  <c r="J26" i="3"/>
  <c r="N24" i="3"/>
  <c r="M24" i="3"/>
  <c r="K24" i="3"/>
  <c r="J24" i="3"/>
  <c r="N22" i="3"/>
  <c r="M22" i="3"/>
  <c r="K22" i="3"/>
  <c r="J22" i="3"/>
  <c r="N20" i="3"/>
  <c r="M20" i="3"/>
  <c r="K20" i="3"/>
  <c r="J20" i="3"/>
  <c r="L49" i="3" s="1"/>
  <c r="N18" i="3"/>
  <c r="M18" i="3"/>
  <c r="K18" i="3"/>
  <c r="J18" i="3"/>
  <c r="G26" i="3"/>
  <c r="F26" i="3"/>
  <c r="D26" i="3"/>
  <c r="C26" i="3"/>
  <c r="G22" i="3"/>
  <c r="F22" i="3"/>
  <c r="D22" i="3"/>
  <c r="C22" i="3"/>
  <c r="G18" i="3"/>
  <c r="F18" i="3"/>
  <c r="D18" i="3"/>
  <c r="C18" i="3"/>
  <c r="C52" i="3"/>
  <c r="C51" i="3"/>
  <c r="C50" i="3"/>
  <c r="C49" i="3"/>
  <c r="L50" i="3" l="1"/>
  <c r="S50" i="3"/>
  <c r="Z50" i="3"/>
  <c r="L51" i="3"/>
  <c r="S51" i="3"/>
  <c r="Z51" i="3"/>
  <c r="L52" i="3"/>
  <c r="S52" i="3"/>
  <c r="Z52" i="3"/>
  <c r="E50" i="3"/>
  <c r="C13" i="3" s="1" a="1"/>
  <c r="C13" i="3" s="1"/>
  <c r="S12" i="2"/>
  <c r="N12" i="2"/>
  <c r="P16" i="2" s="1"/>
  <c r="X16" i="2"/>
  <c r="X8" i="2"/>
  <c r="AC18" i="2"/>
  <c r="AC14" i="2"/>
  <c r="Z16" i="2" s="1"/>
  <c r="AC10" i="2"/>
  <c r="AC6" i="2"/>
  <c r="Z8" i="2" s="1"/>
  <c r="I16" i="2"/>
  <c r="I8" i="2"/>
  <c r="D18" i="2"/>
  <c r="D14" i="2"/>
  <c r="G16" i="2" s="1"/>
  <c r="D10" i="2"/>
  <c r="D6" i="2"/>
  <c r="L22" i="2" l="1"/>
  <c r="U12" i="2"/>
  <c r="U22" i="2"/>
  <c r="X13" i="3" a="1"/>
  <c r="X13" i="3" s="1"/>
  <c r="Q13" i="3" a="1"/>
  <c r="Q13" i="3" s="1"/>
  <c r="J13" i="3" a="1"/>
  <c r="J13" i="3" s="1"/>
  <c r="P12" i="2"/>
  <c r="L12" i="2"/>
  <c r="G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<sst xmlns="http://schemas.openxmlformats.org/spreadsheetml/2006/main" count="108" uniqueCount="26">
  <si>
    <t>GRUP A</t>
  </si>
  <si>
    <t>NAMA</t>
  </si>
  <si>
    <t>GRUP B</t>
  </si>
  <si>
    <t>GRUP C</t>
  </si>
  <si>
    <t>GRUP D</t>
  </si>
  <si>
    <t>SKOR</t>
  </si>
  <si>
    <t>MAIN</t>
  </si>
  <si>
    <t>POINT</t>
  </si>
  <si>
    <t>ATLIT 1</t>
  </si>
  <si>
    <t>ATLIT 2</t>
  </si>
  <si>
    <t>ATLIT 3</t>
  </si>
  <si>
    <t>ATLIT 4</t>
  </si>
  <si>
    <t>CHAMPION</t>
  </si>
  <si>
    <t>ATLIT 5</t>
  </si>
  <si>
    <t>ATLIT 6</t>
  </si>
  <si>
    <t>ATLIT 7</t>
  </si>
  <si>
    <t>ATLIT 8</t>
  </si>
  <si>
    <t>BABAK UTAMA</t>
  </si>
  <si>
    <t>BATTLE OF CHAMPIONS</t>
  </si>
  <si>
    <t>BABAK KUALIFIKASI</t>
  </si>
  <si>
    <t>W-L</t>
  </si>
  <si>
    <t>VS</t>
  </si>
  <si>
    <t>MEJA</t>
  </si>
  <si>
    <t>JUARA 3</t>
  </si>
  <si>
    <t>RUNNER UP</t>
  </si>
  <si>
    <t>JUARA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</si>
</sst>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006666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1" fillId="0" borderId="3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4" borderId="15" xfId="0" applyFill="1" applyBorder="1"/>
    <xf numFmtId="0" fontId="0" fillId="4" borderId="16" xfId="0" applyFill="1" applyBorder="1"/>
    <xf numFmtId="0" fontId="0" fillId="4" borderId="20" xfId="0" applyFill="1" applyBorder="1"/>
    <xf numFmtId="0" fontId="4" fillId="4" borderId="34" xfId="0" applyFont="1" applyFill="1" applyBorder="1"/>
    <xf numFmtId="0" fontId="4" fillId="4" borderId="35" xfId="0" applyFont="1" applyFill="1" applyBorder="1"/>
    <xf numFmtId="0" fontId="1" fillId="4" borderId="34" xfId="0" applyFont="1" applyFill="1" applyBorder="1"/>
    <xf numFmtId="0" fontId="1" fillId="4" borderId="35" xfId="0" applyFont="1" applyFill="1" applyBorder="1"/>
    <xf numFmtId="0" fontId="1" fillId="0" borderId="0" xfId="0" applyFont="1" applyBorder="1"/>
    <xf numFmtId="0" fontId="1" fillId="4" borderId="35" xfId="0" applyFont="1" applyFill="1" applyBorder="1" applyAlignment="1">
      <alignment horizontal="center" vertical="center"/>
    </xf>
    <xf numFmtId="0" fontId="0" fillId="4" borderId="36" xfId="0" applyFill="1" applyBorder="1"/>
    <xf numFmtId="0" fontId="0" fillId="4" borderId="37" xfId="0" applyFill="1" applyBorder="1"/>
    <xf numFmtId="0" fontId="0" fillId="4" borderId="38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20" xfId="0" applyFill="1" applyBorder="1"/>
    <xf numFmtId="0" fontId="4" fillId="5" borderId="34" xfId="0" applyFont="1" applyFill="1" applyBorder="1"/>
    <xf numFmtId="0" fontId="4" fillId="5" borderId="35" xfId="0" applyFont="1" applyFill="1" applyBorder="1"/>
    <xf numFmtId="0" fontId="1" fillId="5" borderId="34" xfId="0" applyFont="1" applyFill="1" applyBorder="1"/>
    <xf numFmtId="0" fontId="1" fillId="5" borderId="35" xfId="0" applyFont="1" applyFill="1" applyBorder="1"/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0" fillId="5" borderId="36" xfId="0" applyFill="1" applyBorder="1"/>
    <xf numFmtId="0" fontId="0" fillId="5" borderId="37" xfId="0" applyFill="1" applyBorder="1"/>
    <xf numFmtId="0" fontId="0" fillId="5" borderId="38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20" xfId="0" applyFill="1" applyBorder="1"/>
    <xf numFmtId="0" fontId="4" fillId="6" borderId="34" xfId="0" applyFont="1" applyFill="1" applyBorder="1"/>
    <xf numFmtId="0" fontId="4" fillId="6" borderId="35" xfId="0" applyFont="1" applyFill="1" applyBorder="1"/>
    <xf numFmtId="0" fontId="1" fillId="6" borderId="34" xfId="0" applyFont="1" applyFill="1" applyBorder="1"/>
    <xf numFmtId="0" fontId="1" fillId="6" borderId="35" xfId="0" applyFont="1" applyFill="1" applyBorder="1"/>
    <xf numFmtId="0" fontId="1" fillId="6" borderId="34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6" borderId="36" xfId="0" applyFill="1" applyBorder="1"/>
    <xf numFmtId="0" fontId="0" fillId="6" borderId="37" xfId="0" applyFill="1" applyBorder="1"/>
    <xf numFmtId="0" fontId="0" fillId="6" borderId="38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20" xfId="0" applyFill="1" applyBorder="1"/>
    <xf numFmtId="0" fontId="4" fillId="7" borderId="34" xfId="0" applyFont="1" applyFill="1" applyBorder="1"/>
    <xf numFmtId="0" fontId="4" fillId="7" borderId="35" xfId="0" applyFont="1" applyFill="1" applyBorder="1"/>
    <xf numFmtId="0" fontId="1" fillId="7" borderId="34" xfId="0" applyFont="1" applyFill="1" applyBorder="1"/>
    <xf numFmtId="0" fontId="1" fillId="7" borderId="35" xfId="0" applyFont="1" applyFill="1" applyBorder="1"/>
    <xf numFmtId="0" fontId="1" fillId="7" borderId="34" xfId="0" applyFont="1" applyFill="1" applyBorder="1" applyAlignment="1">
      <alignment horizontal="center" vertical="center"/>
    </xf>
    <xf numFmtId="0" fontId="0" fillId="7" borderId="36" xfId="0" applyFill="1" applyBorder="1"/>
    <xf numFmtId="0" fontId="0" fillId="7" borderId="37" xfId="0" applyFill="1" applyBorder="1"/>
    <xf numFmtId="0" fontId="0" fillId="7" borderId="38" xfId="0" applyFill="1" applyBorder="1"/>
    <xf numFmtId="0" fontId="1" fillId="0" borderId="19" xfId="0" applyFont="1" applyBorder="1"/>
    <xf numFmtId="0" fontId="1" fillId="0" borderId="17" xfId="0" applyFont="1" applyBorder="1"/>
    <xf numFmtId="0" fontId="1" fillId="0" borderId="22" xfId="0" applyFont="1" applyBorder="1"/>
    <xf numFmtId="0" fontId="1" fillId="0" borderId="26" xfId="0" applyFont="1" applyBorder="1"/>
    <xf numFmtId="0" fontId="1" fillId="0" borderId="18" xfId="0" applyFont="1" applyBorder="1"/>
    <xf numFmtId="0" fontId="1" fillId="0" borderId="6" xfId="0" applyFont="1" applyBorder="1"/>
    <xf numFmtId="0" fontId="1" fillId="0" borderId="27" xfId="0" applyFont="1" applyBorder="1"/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" fillId="0" borderId="20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66FF33"/>
        </patternFill>
      </fill>
    </dxf>
    <dxf>
      <fill>
        <patternFill>
          <bgColor rgb="FFFF7C80"/>
        </patternFill>
      </fill>
    </dxf>
    <dxf>
      <fill>
        <patternFill>
          <bgColor rgb="FF66FF33"/>
        </patternFill>
      </fill>
    </dxf>
    <dxf>
      <fill>
        <patternFill>
          <bgColor rgb="FFFF7C80"/>
        </patternFill>
      </fill>
    </dxf>
    <dxf>
      <fill>
        <patternFill>
          <bgColor rgb="FF66FF33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66FF33"/>
        </patternFill>
      </fill>
    </dxf>
    <dxf>
      <fill>
        <patternFill>
          <bgColor rgb="FFFF7C80"/>
        </patternFill>
      </fill>
    </dxf>
    <dxf>
      <fill>
        <patternFill>
          <bgColor theme="1" tint="0.24994659260841701"/>
        </patternFill>
      </fill>
    </dxf>
  </dxfs>
  <tableStyles count="0" defaultTableStyle="TableStyleMedium2" defaultPivotStyle="PivotStyleLight16"/>
  <colors>
    <mruColors>
      <color rgb="FF66FF33"/>
      <color rgb="FFFF7C80"/>
      <color rgb="FF006666"/>
      <color rgb="FF666633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0BC7-7429-45F2-AA5D-504BE5574DB4}">
  <dimension ref="B1:AC52"/>
  <sheetViews>
    <sheetView showGridLines="0" showRowColHeaders="0" tabSelected="1" zoomScaleNormal="100" workbookViewId="0">
      <selection activeCell="N21" sqref="N21"/>
    </sheetView>
  </sheetViews>
  <sheetFormatPr defaultRowHeight="15" x14ac:dyDescent="0.25"/>
  <cols>
    <col min="1" max="1" width="2.7109375" customWidth="1"/>
    <col min="2" max="2" width="1" customWidth="1"/>
    <col min="3" max="7" width="9" customWidth="1"/>
    <col min="8" max="9" width="1" customWidth="1"/>
    <col min="10" max="14" width="9" customWidth="1"/>
    <col min="15" max="16" width="1" customWidth="1"/>
    <col min="17" max="21" width="9" customWidth="1"/>
    <col min="22" max="23" width="1" customWidth="1"/>
    <col min="24" max="28" width="9" customWidth="1"/>
    <col min="29" max="29" width="1" customWidth="1"/>
  </cols>
  <sheetData>
    <row r="1" spans="2:29" ht="36" x14ac:dyDescent="0.25">
      <c r="C1" s="106" t="s">
        <v>18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 spans="2:29" ht="36.75" thickBot="1" x14ac:dyDescent="0.3">
      <c r="C2" s="107" t="s">
        <v>19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 spans="2:29" ht="5.25" customHeight="1" x14ac:dyDescent="0.25">
      <c r="B3" s="29"/>
      <c r="C3" s="30"/>
      <c r="D3" s="30"/>
      <c r="E3" s="30"/>
      <c r="F3" s="30"/>
      <c r="G3" s="30"/>
      <c r="H3" s="31"/>
      <c r="I3" s="41"/>
      <c r="J3" s="42"/>
      <c r="K3" s="42"/>
      <c r="L3" s="42"/>
      <c r="M3" s="42"/>
      <c r="N3" s="42"/>
      <c r="O3" s="43"/>
      <c r="P3" s="53"/>
      <c r="Q3" s="54"/>
      <c r="R3" s="54"/>
      <c r="S3" s="54"/>
      <c r="T3" s="54"/>
      <c r="U3" s="54"/>
      <c r="V3" s="55"/>
      <c r="W3" s="65"/>
      <c r="X3" s="66"/>
      <c r="Y3" s="66"/>
      <c r="Z3" s="66"/>
      <c r="AA3" s="66"/>
      <c r="AB3" s="66"/>
      <c r="AC3" s="67"/>
    </row>
    <row r="4" spans="2:29" s="2" customFormat="1" ht="15.75" customHeight="1" x14ac:dyDescent="0.35">
      <c r="B4" s="32"/>
      <c r="C4" s="108" t="s">
        <v>0</v>
      </c>
      <c r="D4" s="108"/>
      <c r="E4" s="108"/>
      <c r="F4" s="108"/>
      <c r="G4" s="95" t="s">
        <v>22</v>
      </c>
      <c r="H4" s="33"/>
      <c r="I4" s="44"/>
      <c r="J4" s="108" t="s">
        <v>2</v>
      </c>
      <c r="K4" s="108"/>
      <c r="L4" s="108"/>
      <c r="M4" s="108"/>
      <c r="N4" s="95" t="s">
        <v>22</v>
      </c>
      <c r="O4" s="45"/>
      <c r="P4" s="56"/>
      <c r="Q4" s="108" t="s">
        <v>3</v>
      </c>
      <c r="R4" s="108"/>
      <c r="S4" s="108"/>
      <c r="T4" s="108"/>
      <c r="U4" s="95" t="s">
        <v>22</v>
      </c>
      <c r="V4" s="57"/>
      <c r="W4" s="68"/>
      <c r="X4" s="108" t="s">
        <v>4</v>
      </c>
      <c r="Y4" s="108"/>
      <c r="Z4" s="108"/>
      <c r="AA4" s="108"/>
      <c r="AB4" s="95" t="s">
        <v>22</v>
      </c>
      <c r="AC4" s="69"/>
    </row>
    <row r="5" spans="2:29" s="2" customFormat="1" ht="15.75" customHeight="1" thickBot="1" x14ac:dyDescent="0.4">
      <c r="B5" s="32"/>
      <c r="C5" s="109"/>
      <c r="D5" s="109"/>
      <c r="E5" s="109"/>
      <c r="F5" s="109"/>
      <c r="G5" s="94"/>
      <c r="H5" s="33"/>
      <c r="I5" s="44"/>
      <c r="J5" s="109"/>
      <c r="K5" s="109"/>
      <c r="L5" s="109"/>
      <c r="M5" s="109"/>
      <c r="N5" s="94"/>
      <c r="O5" s="45"/>
      <c r="P5" s="56"/>
      <c r="Q5" s="109"/>
      <c r="R5" s="109"/>
      <c r="S5" s="109"/>
      <c r="T5" s="109"/>
      <c r="U5" s="94"/>
      <c r="V5" s="57"/>
      <c r="W5" s="68"/>
      <c r="X5" s="109"/>
      <c r="Y5" s="109"/>
      <c r="Z5" s="109"/>
      <c r="AA5" s="109"/>
      <c r="AB5" s="94"/>
      <c r="AC5" s="69"/>
    </row>
    <row r="6" spans="2:29" s="3" customFormat="1" ht="15.75" thickBot="1" x14ac:dyDescent="0.3">
      <c r="B6" s="34"/>
      <c r="C6" s="16" t="s">
        <v>1</v>
      </c>
      <c r="D6" s="17" t="s">
        <v>8</v>
      </c>
      <c r="E6" s="18" t="s">
        <v>9</v>
      </c>
      <c r="F6" s="18" t="s">
        <v>10</v>
      </c>
      <c r="G6" s="19" t="s">
        <v>11</v>
      </c>
      <c r="H6" s="35"/>
      <c r="I6" s="46"/>
      <c r="J6" s="16" t="s">
        <v>1</v>
      </c>
      <c r="K6" s="17" t="s">
        <v>8</v>
      </c>
      <c r="L6" s="18" t="s">
        <v>9</v>
      </c>
      <c r="M6" s="18" t="s">
        <v>10</v>
      </c>
      <c r="N6" s="19" t="s">
        <v>11</v>
      </c>
      <c r="O6" s="47"/>
      <c r="P6" s="58"/>
      <c r="Q6" s="16" t="s">
        <v>1</v>
      </c>
      <c r="R6" s="17" t="s">
        <v>8</v>
      </c>
      <c r="S6" s="18" t="s">
        <v>9</v>
      </c>
      <c r="T6" s="18" t="s">
        <v>10</v>
      </c>
      <c r="U6" s="19" t="s">
        <v>11</v>
      </c>
      <c r="V6" s="59"/>
      <c r="W6" s="70"/>
      <c r="X6" s="16" t="s">
        <v>1</v>
      </c>
      <c r="Y6" s="17" t="s">
        <v>8</v>
      </c>
      <c r="Z6" s="18" t="s">
        <v>9</v>
      </c>
      <c r="AA6" s="18" t="s">
        <v>10</v>
      </c>
      <c r="AB6" s="19" t="s">
        <v>11</v>
      </c>
      <c r="AC6" s="71"/>
    </row>
    <row r="7" spans="2:29" s="3" customFormat="1" x14ac:dyDescent="0.25">
      <c r="B7" s="34"/>
      <c r="C7" s="20" t="str">
        <f>G6</f>
        <v>ATLIT 4</v>
      </c>
      <c r="D7" s="88" t="str">
        <f>C27&amp;"-"&amp;D27</f>
        <v>-</v>
      </c>
      <c r="E7" s="86" t="str">
        <f>F23&amp;"-"&amp;G23</f>
        <v>-</v>
      </c>
      <c r="F7" s="86" t="str">
        <f>F19&amp;"-"&amp;G19</f>
        <v>-</v>
      </c>
      <c r="G7" s="25"/>
      <c r="H7" s="35"/>
      <c r="I7" s="46"/>
      <c r="J7" s="20" t="str">
        <f>N6</f>
        <v>ATLIT 4</v>
      </c>
      <c r="K7" s="88" t="str">
        <f>J27&amp;"-"&amp;K27</f>
        <v>-</v>
      </c>
      <c r="L7" s="86" t="str">
        <f>M23&amp;"-"&amp;N23</f>
        <v>-</v>
      </c>
      <c r="M7" s="86" t="str">
        <f>M19&amp;"-"&amp;N19</f>
        <v>-</v>
      </c>
      <c r="N7" s="25"/>
      <c r="O7" s="47"/>
      <c r="P7" s="58"/>
      <c r="Q7" s="20" t="str">
        <f>U6</f>
        <v>ATLIT 4</v>
      </c>
      <c r="R7" s="88" t="str">
        <f>Q27&amp;"-"&amp;R27</f>
        <v>-</v>
      </c>
      <c r="S7" s="86" t="str">
        <f>T23&amp;"-"&amp;U23</f>
        <v>-</v>
      </c>
      <c r="T7" s="86" t="str">
        <f>T19&amp;"-"&amp;U19</f>
        <v>-</v>
      </c>
      <c r="U7" s="25"/>
      <c r="V7" s="59"/>
      <c r="W7" s="70"/>
      <c r="X7" s="20" t="str">
        <f>AB6</f>
        <v>ATLIT 4</v>
      </c>
      <c r="Y7" s="88" t="str">
        <f>X27&amp;"-"&amp;Y27</f>
        <v>-</v>
      </c>
      <c r="Z7" s="86" t="str">
        <f>AA23&amp;"-"&amp;AB23</f>
        <v>-</v>
      </c>
      <c r="AA7" s="86" t="str">
        <f>AA19&amp;"-"&amp;AB19</f>
        <v>-</v>
      </c>
      <c r="AB7" s="25"/>
      <c r="AC7" s="71"/>
    </row>
    <row r="8" spans="2:29" s="3" customFormat="1" x14ac:dyDescent="0.25">
      <c r="B8" s="34"/>
      <c r="C8" s="21" t="str">
        <f>F6</f>
        <v>ATLIT 3</v>
      </c>
      <c r="D8" s="89" t="str">
        <f>C23&amp;"-"&amp;D23</f>
        <v>-</v>
      </c>
      <c r="E8" s="87" t="str">
        <f>F27&amp;"-"&amp;G27</f>
        <v>-</v>
      </c>
      <c r="F8" s="26"/>
      <c r="G8" s="27"/>
      <c r="H8" s="35"/>
      <c r="I8" s="46"/>
      <c r="J8" s="21" t="str">
        <f>M6</f>
        <v>ATLIT 3</v>
      </c>
      <c r="K8" s="89" t="str">
        <f>J23&amp;"-"&amp;K23</f>
        <v>-</v>
      </c>
      <c r="L8" s="87" t="str">
        <f>M27&amp;"-"&amp;N27</f>
        <v>-</v>
      </c>
      <c r="M8" s="26"/>
      <c r="N8" s="27"/>
      <c r="O8" s="47"/>
      <c r="P8" s="58"/>
      <c r="Q8" s="21" t="str">
        <f>T6</f>
        <v>ATLIT 3</v>
      </c>
      <c r="R8" s="89" t="str">
        <f>Q23&amp;"-"&amp;R23</f>
        <v>-</v>
      </c>
      <c r="S8" s="87" t="str">
        <f>T27&amp;"-"&amp;U27</f>
        <v>-</v>
      </c>
      <c r="T8" s="26"/>
      <c r="U8" s="27"/>
      <c r="V8" s="59"/>
      <c r="W8" s="70"/>
      <c r="X8" s="21" t="str">
        <f>AA6</f>
        <v>ATLIT 3</v>
      </c>
      <c r="Y8" s="89" t="str">
        <f>X23&amp;"-"&amp;Y23</f>
        <v>-</v>
      </c>
      <c r="Z8" s="87" t="str">
        <f>AA27&amp;"-"&amp;AB27</f>
        <v>-</v>
      </c>
      <c r="AA8" s="26"/>
      <c r="AB8" s="27"/>
      <c r="AC8" s="71"/>
    </row>
    <row r="9" spans="2:29" s="3" customFormat="1" x14ac:dyDescent="0.25">
      <c r="B9" s="34"/>
      <c r="C9" s="21" t="str">
        <f>E6</f>
        <v>ATLIT 2</v>
      </c>
      <c r="D9" s="89" t="str">
        <f>C19&amp;"-"&amp;D19</f>
        <v>-</v>
      </c>
      <c r="E9" s="90"/>
      <c r="F9" s="26"/>
      <c r="G9" s="27"/>
      <c r="H9" s="35"/>
      <c r="I9" s="46"/>
      <c r="J9" s="21" t="str">
        <f>L6</f>
        <v>ATLIT 2</v>
      </c>
      <c r="K9" s="89" t="str">
        <f>J19&amp;"-"&amp;K19</f>
        <v>-</v>
      </c>
      <c r="L9" s="90"/>
      <c r="M9" s="26"/>
      <c r="N9" s="27"/>
      <c r="O9" s="47"/>
      <c r="P9" s="58"/>
      <c r="Q9" s="21" t="str">
        <f>S6</f>
        <v>ATLIT 2</v>
      </c>
      <c r="R9" s="89" t="str">
        <f>Q19&amp;"-"&amp;R19</f>
        <v>-</v>
      </c>
      <c r="S9" s="90"/>
      <c r="T9" s="26"/>
      <c r="U9" s="27"/>
      <c r="V9" s="59"/>
      <c r="W9" s="70"/>
      <c r="X9" s="21" t="str">
        <f>Z6</f>
        <v>ATLIT 2</v>
      </c>
      <c r="Y9" s="89" t="str">
        <f>X19&amp;"-"&amp;Y19</f>
        <v>-</v>
      </c>
      <c r="Z9" s="90"/>
      <c r="AA9" s="26"/>
      <c r="AB9" s="27"/>
      <c r="AC9" s="71"/>
    </row>
    <row r="10" spans="2:29" s="3" customFormat="1" ht="15.75" thickBot="1" x14ac:dyDescent="0.3">
      <c r="B10" s="34"/>
      <c r="C10" s="22" t="str">
        <f>D6</f>
        <v>ATLIT 1</v>
      </c>
      <c r="D10" s="91"/>
      <c r="E10" s="91"/>
      <c r="F10" s="91"/>
      <c r="G10" s="28"/>
      <c r="H10" s="35"/>
      <c r="I10" s="46"/>
      <c r="J10" s="22" t="str">
        <f>K6</f>
        <v>ATLIT 1</v>
      </c>
      <c r="K10" s="91"/>
      <c r="L10" s="91"/>
      <c r="M10" s="91"/>
      <c r="N10" s="28"/>
      <c r="O10" s="47"/>
      <c r="P10" s="58"/>
      <c r="Q10" s="22" t="str">
        <f>R6</f>
        <v>ATLIT 1</v>
      </c>
      <c r="R10" s="91"/>
      <c r="S10" s="91"/>
      <c r="T10" s="91"/>
      <c r="U10" s="28"/>
      <c r="V10" s="59"/>
      <c r="W10" s="70"/>
      <c r="X10" s="22" t="str">
        <f>Y6</f>
        <v>ATLIT 1</v>
      </c>
      <c r="Y10" s="91"/>
      <c r="Z10" s="91"/>
      <c r="AA10" s="91"/>
      <c r="AB10" s="28"/>
      <c r="AC10" s="71"/>
    </row>
    <row r="11" spans="2:29" s="3" customFormat="1" ht="15.75" thickBot="1" x14ac:dyDescent="0.3">
      <c r="B11" s="34"/>
      <c r="C11" s="36"/>
      <c r="D11" s="36"/>
      <c r="E11" s="36"/>
      <c r="F11" s="36"/>
      <c r="G11" s="36"/>
      <c r="H11" s="35"/>
      <c r="I11" s="46"/>
      <c r="J11" s="36"/>
      <c r="K11" s="36"/>
      <c r="L11" s="36"/>
      <c r="M11" s="36"/>
      <c r="N11" s="36"/>
      <c r="O11" s="47"/>
      <c r="P11" s="58"/>
      <c r="Q11" s="36"/>
      <c r="R11" s="36"/>
      <c r="S11" s="36"/>
      <c r="T11" s="36"/>
      <c r="U11" s="36"/>
      <c r="V11" s="59"/>
      <c r="W11" s="70"/>
      <c r="X11" s="36"/>
      <c r="Y11" s="36"/>
      <c r="Z11" s="36"/>
      <c r="AA11" s="36"/>
      <c r="AB11" s="36"/>
      <c r="AC11" s="71"/>
    </row>
    <row r="12" spans="2:29" s="3" customFormat="1" ht="15.75" thickBot="1" x14ac:dyDescent="0.3">
      <c r="B12" s="34"/>
      <c r="C12" s="16" t="s">
        <v>1</v>
      </c>
      <c r="D12" s="17" t="s">
        <v>6</v>
      </c>
      <c r="E12" s="18" t="s">
        <v>20</v>
      </c>
      <c r="F12" s="18" t="s">
        <v>5</v>
      </c>
      <c r="G12" s="19" t="s">
        <v>7</v>
      </c>
      <c r="H12" s="35"/>
      <c r="I12" s="46"/>
      <c r="J12" s="16" t="s">
        <v>1</v>
      </c>
      <c r="K12" s="17" t="s">
        <v>6</v>
      </c>
      <c r="L12" s="18" t="s">
        <v>20</v>
      </c>
      <c r="M12" s="18" t="s">
        <v>5</v>
      </c>
      <c r="N12" s="19" t="s">
        <v>7</v>
      </c>
      <c r="O12" s="47"/>
      <c r="P12" s="58"/>
      <c r="Q12" s="16" t="s">
        <v>1</v>
      </c>
      <c r="R12" s="17" t="s">
        <v>6</v>
      </c>
      <c r="S12" s="18" t="s">
        <v>20</v>
      </c>
      <c r="T12" s="18" t="s">
        <v>5</v>
      </c>
      <c r="U12" s="19" t="s">
        <v>7</v>
      </c>
      <c r="V12" s="59"/>
      <c r="W12" s="70"/>
      <c r="X12" s="16" t="s">
        <v>1</v>
      </c>
      <c r="Y12" s="17" t="s">
        <v>6</v>
      </c>
      <c r="Z12" s="18" t="s">
        <v>20</v>
      </c>
      <c r="AA12" s="18" t="s">
        <v>5</v>
      </c>
      <c r="AB12" s="19" t="s">
        <v>7</v>
      </c>
      <c r="AC12" s="71"/>
    </row>
    <row r="13" spans="2:29" s="3" customFormat="1" x14ac:dyDescent="0.25">
      <c r="B13" s="34"/>
      <c r="C13" s="20" t="str" cm="1">
        <f t="array" ref="C13:G16">_xlfn.SORTBY(C49:G52,G49:G52,-1,F49:F52,-1)</f>
        <v>ATLIT 1</v>
      </c>
      <c r="D13" s="5">
        <v>0</v>
      </c>
      <c r="E13" s="4" t="str">
        <v>0-0</v>
      </c>
      <c r="F13" s="4" t="str">
        <v>0-0</v>
      </c>
      <c r="G13" s="7">
        <v>0</v>
      </c>
      <c r="H13" s="37"/>
      <c r="I13" s="48"/>
      <c r="J13" s="20" t="str" cm="1">
        <f t="array" ref="J13:N16">_xlfn._xlws.SORT(J49:N52,5,-1)</f>
        <v>ATLIT 1</v>
      </c>
      <c r="K13" s="5">
        <v>0</v>
      </c>
      <c r="L13" s="4" t="str">
        <v>0-0</v>
      </c>
      <c r="M13" s="4" t="str">
        <v>0-0</v>
      </c>
      <c r="N13" s="7">
        <v>0</v>
      </c>
      <c r="O13" s="49"/>
      <c r="P13" s="60"/>
      <c r="Q13" s="20" t="str" cm="1">
        <f t="array" ref="Q13:U16">_xlfn._xlws.SORT(Q49:U52,5,-1)</f>
        <v>ATLIT 1</v>
      </c>
      <c r="R13" s="5">
        <v>0</v>
      </c>
      <c r="S13" s="4" t="str">
        <v>0-0</v>
      </c>
      <c r="T13" s="4" t="str">
        <v>0-0</v>
      </c>
      <c r="U13" s="7">
        <v>0</v>
      </c>
      <c r="V13" s="61"/>
      <c r="W13" s="72"/>
      <c r="X13" s="20" t="str" cm="1">
        <f t="array" ref="X13:AB16">_xlfn._xlws.SORT(X49:AB52,5,-1)</f>
        <v>ATLIT 1</v>
      </c>
      <c r="Y13" s="5">
        <v>0</v>
      </c>
      <c r="Z13" s="4" t="str">
        <v>0-0</v>
      </c>
      <c r="AA13" s="4" t="str">
        <v>0-0</v>
      </c>
      <c r="AB13" s="7">
        <v>0</v>
      </c>
      <c r="AC13" s="71"/>
    </row>
    <row r="14" spans="2:29" s="3" customFormat="1" x14ac:dyDescent="0.25">
      <c r="B14" s="34"/>
      <c r="C14" s="21" t="str">
        <v>ATLIT 2</v>
      </c>
      <c r="D14" s="6">
        <v>0</v>
      </c>
      <c r="E14" s="1" t="str">
        <v>0-0</v>
      </c>
      <c r="F14" s="1" t="str">
        <v>0-0</v>
      </c>
      <c r="G14" s="8">
        <v>0</v>
      </c>
      <c r="H14" s="37"/>
      <c r="I14" s="48"/>
      <c r="J14" s="21" t="str">
        <v>ATLIT 2</v>
      </c>
      <c r="K14" s="6">
        <v>0</v>
      </c>
      <c r="L14" s="1" t="str">
        <v>0-0</v>
      </c>
      <c r="M14" s="1" t="str">
        <v>0-0</v>
      </c>
      <c r="N14" s="8">
        <v>0</v>
      </c>
      <c r="O14" s="49"/>
      <c r="P14" s="60"/>
      <c r="Q14" s="21" t="str">
        <v>ATLIT 2</v>
      </c>
      <c r="R14" s="6">
        <v>0</v>
      </c>
      <c r="S14" s="1" t="str">
        <v>0-0</v>
      </c>
      <c r="T14" s="1" t="str">
        <v>0-0</v>
      </c>
      <c r="U14" s="8">
        <v>0</v>
      </c>
      <c r="V14" s="61"/>
      <c r="W14" s="72"/>
      <c r="X14" s="21" t="str">
        <v>ATLIT 2</v>
      </c>
      <c r="Y14" s="6">
        <v>0</v>
      </c>
      <c r="Z14" s="1" t="str">
        <v>0-0</v>
      </c>
      <c r="AA14" s="1" t="str">
        <v>0-0</v>
      </c>
      <c r="AB14" s="8">
        <v>0</v>
      </c>
      <c r="AC14" s="71"/>
    </row>
    <row r="15" spans="2:29" s="3" customFormat="1" x14ac:dyDescent="0.25">
      <c r="B15" s="34"/>
      <c r="C15" s="21" t="str">
        <v>ATLIT 3</v>
      </c>
      <c r="D15" s="6">
        <v>0</v>
      </c>
      <c r="E15" s="1" t="str">
        <v>0-0</v>
      </c>
      <c r="F15" s="1" t="str">
        <v>0-0</v>
      </c>
      <c r="G15" s="8">
        <v>0</v>
      </c>
      <c r="H15" s="37"/>
      <c r="I15" s="48"/>
      <c r="J15" s="21" t="str">
        <v>ATLIT 3</v>
      </c>
      <c r="K15" s="6">
        <v>0</v>
      </c>
      <c r="L15" s="1" t="str">
        <v>0-0</v>
      </c>
      <c r="M15" s="1" t="str">
        <v>0-0</v>
      </c>
      <c r="N15" s="8">
        <v>0</v>
      </c>
      <c r="O15" s="49"/>
      <c r="P15" s="60"/>
      <c r="Q15" s="21" t="str">
        <v>ATLIT 3</v>
      </c>
      <c r="R15" s="6">
        <v>0</v>
      </c>
      <c r="S15" s="1" t="str">
        <v>0-0</v>
      </c>
      <c r="T15" s="1" t="str">
        <v>0-0</v>
      </c>
      <c r="U15" s="8">
        <v>0</v>
      </c>
      <c r="V15" s="61"/>
      <c r="W15" s="72"/>
      <c r="X15" s="21" t="str">
        <v>ATLIT 3</v>
      </c>
      <c r="Y15" s="6">
        <v>0</v>
      </c>
      <c r="Z15" s="1" t="str">
        <v>0-0</v>
      </c>
      <c r="AA15" s="1" t="str">
        <v>0-0</v>
      </c>
      <c r="AB15" s="8">
        <v>0</v>
      </c>
      <c r="AC15" s="71"/>
    </row>
    <row r="16" spans="2:29" s="3" customFormat="1" ht="15.75" thickBot="1" x14ac:dyDescent="0.3">
      <c r="B16" s="34"/>
      <c r="C16" s="22" t="str">
        <v>ATLIT 4</v>
      </c>
      <c r="D16" s="9">
        <v>0</v>
      </c>
      <c r="E16" s="10" t="str">
        <v>0-0</v>
      </c>
      <c r="F16" s="10" t="str">
        <v>0-0</v>
      </c>
      <c r="G16" s="11">
        <v>0</v>
      </c>
      <c r="H16" s="37"/>
      <c r="I16" s="48"/>
      <c r="J16" s="22" t="str">
        <v>ATLIT 4</v>
      </c>
      <c r="K16" s="9">
        <v>0</v>
      </c>
      <c r="L16" s="10" t="str">
        <v>0-0</v>
      </c>
      <c r="M16" s="10" t="str">
        <v>0-0</v>
      </c>
      <c r="N16" s="11">
        <v>0</v>
      </c>
      <c r="O16" s="49"/>
      <c r="P16" s="60"/>
      <c r="Q16" s="22" t="str">
        <v>ATLIT 4</v>
      </c>
      <c r="R16" s="9">
        <v>0</v>
      </c>
      <c r="S16" s="10" t="str">
        <v>0-0</v>
      </c>
      <c r="T16" s="10" t="str">
        <v>0-0</v>
      </c>
      <c r="U16" s="11">
        <v>0</v>
      </c>
      <c r="V16" s="61"/>
      <c r="W16" s="72"/>
      <c r="X16" s="22" t="str">
        <v>ATLIT 4</v>
      </c>
      <c r="Y16" s="9">
        <v>0</v>
      </c>
      <c r="Z16" s="10" t="str">
        <v>0-0</v>
      </c>
      <c r="AA16" s="10" t="str">
        <v>0-0</v>
      </c>
      <c r="AB16" s="11">
        <v>0</v>
      </c>
      <c r="AC16" s="71"/>
    </row>
    <row r="17" spans="2:29" s="3" customFormat="1" ht="15.75" thickBot="1" x14ac:dyDescent="0.3">
      <c r="B17" s="34"/>
      <c r="C17" s="36"/>
      <c r="D17" s="36"/>
      <c r="E17" s="36"/>
      <c r="F17" s="36"/>
      <c r="G17" s="36"/>
      <c r="H17" s="35"/>
      <c r="I17" s="46"/>
      <c r="J17" s="36"/>
      <c r="K17" s="36"/>
      <c r="L17" s="36"/>
      <c r="M17" s="36"/>
      <c r="N17" s="36"/>
      <c r="O17" s="47"/>
      <c r="P17" s="58"/>
      <c r="Q17" s="36"/>
      <c r="R17" s="36"/>
      <c r="S17" s="36"/>
      <c r="T17" s="36"/>
      <c r="U17" s="36"/>
      <c r="V17" s="59"/>
      <c r="W17" s="70"/>
      <c r="X17" s="36"/>
      <c r="Y17" s="36"/>
      <c r="Z17" s="36"/>
      <c r="AA17" s="36"/>
      <c r="AB17" s="36"/>
      <c r="AC17" s="71"/>
    </row>
    <row r="18" spans="2:29" s="3" customFormat="1" ht="15.75" thickBot="1" x14ac:dyDescent="0.3">
      <c r="B18" s="34"/>
      <c r="C18" s="23" t="str">
        <f>D6</f>
        <v>ATLIT 1</v>
      </c>
      <c r="D18" s="24" t="str">
        <f>E6</f>
        <v>ATLIT 2</v>
      </c>
      <c r="E18" s="16" t="s">
        <v>1</v>
      </c>
      <c r="F18" s="17" t="str">
        <f>F6</f>
        <v>ATLIT 3</v>
      </c>
      <c r="G18" s="19" t="str">
        <f>G6</f>
        <v>ATLIT 4</v>
      </c>
      <c r="H18" s="35"/>
      <c r="I18" s="46"/>
      <c r="J18" s="23" t="str">
        <f>K6</f>
        <v>ATLIT 1</v>
      </c>
      <c r="K18" s="24" t="str">
        <f>L6</f>
        <v>ATLIT 2</v>
      </c>
      <c r="L18" s="16" t="s">
        <v>1</v>
      </c>
      <c r="M18" s="17" t="str">
        <f>M6</f>
        <v>ATLIT 3</v>
      </c>
      <c r="N18" s="19" t="str">
        <f>N6</f>
        <v>ATLIT 4</v>
      </c>
      <c r="O18" s="47"/>
      <c r="P18" s="58"/>
      <c r="Q18" s="23" t="str">
        <f>R6</f>
        <v>ATLIT 1</v>
      </c>
      <c r="R18" s="24" t="str">
        <f>S6</f>
        <v>ATLIT 2</v>
      </c>
      <c r="S18" s="16" t="s">
        <v>1</v>
      </c>
      <c r="T18" s="17" t="str">
        <f>T6</f>
        <v>ATLIT 3</v>
      </c>
      <c r="U18" s="19" t="str">
        <f>U6</f>
        <v>ATLIT 4</v>
      </c>
      <c r="V18" s="59"/>
      <c r="W18" s="70"/>
      <c r="X18" s="23" t="str">
        <f>Y6</f>
        <v>ATLIT 1</v>
      </c>
      <c r="Y18" s="24" t="str">
        <f>Z6</f>
        <v>ATLIT 2</v>
      </c>
      <c r="Z18" s="16" t="s">
        <v>1</v>
      </c>
      <c r="AA18" s="17" t="str">
        <f>AA6</f>
        <v>ATLIT 3</v>
      </c>
      <c r="AB18" s="19" t="str">
        <f>AB6</f>
        <v>ATLIT 4</v>
      </c>
      <c r="AC18" s="71"/>
    </row>
    <row r="19" spans="2:29" s="3" customFormat="1" x14ac:dyDescent="0.25">
      <c r="B19" s="34"/>
      <c r="C19" s="12"/>
      <c r="D19" s="14"/>
      <c r="E19" s="104" t="s">
        <v>21</v>
      </c>
      <c r="F19" s="5"/>
      <c r="G19" s="7"/>
      <c r="H19" s="35"/>
      <c r="I19" s="46"/>
      <c r="J19" s="12"/>
      <c r="K19" s="14"/>
      <c r="L19" s="104" t="s">
        <v>21</v>
      </c>
      <c r="M19" s="5"/>
      <c r="N19" s="7"/>
      <c r="O19" s="47"/>
      <c r="P19" s="58"/>
      <c r="Q19" s="12"/>
      <c r="R19" s="14"/>
      <c r="S19" s="104" t="s">
        <v>21</v>
      </c>
      <c r="T19" s="5"/>
      <c r="U19" s="7"/>
      <c r="V19" s="59"/>
      <c r="W19" s="70"/>
      <c r="X19" s="12"/>
      <c r="Y19" s="14"/>
      <c r="Z19" s="104" t="s">
        <v>21</v>
      </c>
      <c r="AA19" s="5"/>
      <c r="AB19" s="7"/>
      <c r="AC19" s="71"/>
    </row>
    <row r="20" spans="2:29" s="3" customFormat="1" ht="15.75" thickBot="1" x14ac:dyDescent="0.3">
      <c r="B20" s="34"/>
      <c r="C20" s="13" t="str">
        <f>IF(C19&gt;D19,"W",IF(D19&gt;C19,"L","E"))</f>
        <v>E</v>
      </c>
      <c r="D20" s="15" t="str">
        <f>IF(D19&gt;C19,"W",IF(C19&gt;D19,"L","E"))</f>
        <v>E</v>
      </c>
      <c r="E20" s="105"/>
      <c r="F20" s="13" t="str">
        <f>IF(F19&gt;G19,"W",IF(G19&gt;F19,"L","E"))</f>
        <v>E</v>
      </c>
      <c r="G20" s="11" t="str">
        <f>IF(G19&gt;F19,"W",IF(F19&gt;G19,"L","E"))</f>
        <v>E</v>
      </c>
      <c r="H20" s="35"/>
      <c r="I20" s="46"/>
      <c r="J20" s="13" t="str">
        <f>IF(J19&gt;K19,"W",IF(K19&gt;J19,"L","E"))</f>
        <v>E</v>
      </c>
      <c r="K20" s="15" t="str">
        <f>IF(K19&gt;J19,"W",IF(J19&gt;K19,"L","E"))</f>
        <v>E</v>
      </c>
      <c r="L20" s="105"/>
      <c r="M20" s="13" t="str">
        <f>IF(M19&gt;N19,"W",IF(N19&gt;M19,"L","E"))</f>
        <v>E</v>
      </c>
      <c r="N20" s="11" t="str">
        <f>IF(N19&gt;M19,"W",IF(M19&gt;N19,"L","E"))</f>
        <v>E</v>
      </c>
      <c r="O20" s="47"/>
      <c r="P20" s="58"/>
      <c r="Q20" s="13" t="str">
        <f>IF(Q19&gt;R19,"W",IF(R19&gt;Q19,"L","E"))</f>
        <v>E</v>
      </c>
      <c r="R20" s="15" t="str">
        <f>IF(R19&gt;Q19,"W",IF(Q19&gt;R19,"L","E"))</f>
        <v>E</v>
      </c>
      <c r="S20" s="105"/>
      <c r="T20" s="13" t="str">
        <f>IF(T19&gt;U19,"W",IF(U19&gt;T19,"L","E"))</f>
        <v>E</v>
      </c>
      <c r="U20" s="11" t="str">
        <f>IF(U19&gt;T19,"W",IF(T19&gt;U19,"L","E"))</f>
        <v>E</v>
      </c>
      <c r="V20" s="59"/>
      <c r="W20" s="70"/>
      <c r="X20" s="13" t="str">
        <f>IF(X19&gt;Y19,"W",IF(Y19&gt;X19,"L","E"))</f>
        <v>E</v>
      </c>
      <c r="Y20" s="15" t="str">
        <f>IF(Y19&gt;X19,"W",IF(X19&gt;Y19,"L","E"))</f>
        <v>E</v>
      </c>
      <c r="Z20" s="105"/>
      <c r="AA20" s="13" t="str">
        <f>IF(AA19&gt;AB19,"W",IF(AB19&gt;AA19,"L","E"))</f>
        <v>E</v>
      </c>
      <c r="AB20" s="11" t="str">
        <f>IF(AB19&gt;AA19,"W",IF(AA19&gt;AB19,"L","E"))</f>
        <v>E</v>
      </c>
      <c r="AC20" s="71"/>
    </row>
    <row r="21" spans="2:29" s="3" customFormat="1" ht="15.75" thickBot="1" x14ac:dyDescent="0.3">
      <c r="B21" s="34"/>
      <c r="C21" s="36"/>
      <c r="D21" s="36"/>
      <c r="E21" s="36"/>
      <c r="F21" s="36"/>
      <c r="G21" s="36"/>
      <c r="H21" s="35"/>
      <c r="I21" s="46"/>
      <c r="J21" s="36"/>
      <c r="K21" s="36"/>
      <c r="L21" s="36"/>
      <c r="M21" s="36"/>
      <c r="N21" s="36"/>
      <c r="O21" s="47"/>
      <c r="P21" s="58"/>
      <c r="Q21" s="36"/>
      <c r="R21" s="36"/>
      <c r="S21" s="36"/>
      <c r="T21" s="36"/>
      <c r="U21" s="36"/>
      <c r="V21" s="59"/>
      <c r="W21" s="70"/>
      <c r="X21" s="36"/>
      <c r="Y21" s="36"/>
      <c r="Z21" s="36"/>
      <c r="AA21" s="36"/>
      <c r="AB21" s="36"/>
      <c r="AC21" s="71"/>
    </row>
    <row r="22" spans="2:29" s="3" customFormat="1" ht="15.75" thickBot="1" x14ac:dyDescent="0.3">
      <c r="B22" s="34"/>
      <c r="C22" s="23" t="str">
        <f>D6</f>
        <v>ATLIT 1</v>
      </c>
      <c r="D22" s="24" t="str">
        <f>F6</f>
        <v>ATLIT 3</v>
      </c>
      <c r="E22" s="16" t="s">
        <v>1</v>
      </c>
      <c r="F22" s="17" t="str">
        <f>E6</f>
        <v>ATLIT 2</v>
      </c>
      <c r="G22" s="19" t="str">
        <f>G6</f>
        <v>ATLIT 4</v>
      </c>
      <c r="H22" s="35"/>
      <c r="I22" s="46"/>
      <c r="J22" s="23" t="str">
        <f>K6</f>
        <v>ATLIT 1</v>
      </c>
      <c r="K22" s="24" t="str">
        <f>M6</f>
        <v>ATLIT 3</v>
      </c>
      <c r="L22" s="16" t="s">
        <v>1</v>
      </c>
      <c r="M22" s="17" t="str">
        <f>L6</f>
        <v>ATLIT 2</v>
      </c>
      <c r="N22" s="19" t="str">
        <f>N6</f>
        <v>ATLIT 4</v>
      </c>
      <c r="O22" s="47"/>
      <c r="P22" s="58"/>
      <c r="Q22" s="23" t="str">
        <f>R6</f>
        <v>ATLIT 1</v>
      </c>
      <c r="R22" s="24" t="str">
        <f>T6</f>
        <v>ATLIT 3</v>
      </c>
      <c r="S22" s="16" t="s">
        <v>1</v>
      </c>
      <c r="T22" s="17" t="str">
        <f>S6</f>
        <v>ATLIT 2</v>
      </c>
      <c r="U22" s="19" t="str">
        <f>U6</f>
        <v>ATLIT 4</v>
      </c>
      <c r="V22" s="59"/>
      <c r="W22" s="70"/>
      <c r="X22" s="23" t="str">
        <f>Y6</f>
        <v>ATLIT 1</v>
      </c>
      <c r="Y22" s="24" t="str">
        <f>AA6</f>
        <v>ATLIT 3</v>
      </c>
      <c r="Z22" s="16" t="s">
        <v>1</v>
      </c>
      <c r="AA22" s="17" t="str">
        <f>Z6</f>
        <v>ATLIT 2</v>
      </c>
      <c r="AB22" s="19" t="str">
        <f>AB6</f>
        <v>ATLIT 4</v>
      </c>
      <c r="AC22" s="71"/>
    </row>
    <row r="23" spans="2:29" s="3" customFormat="1" x14ac:dyDescent="0.25">
      <c r="B23" s="34"/>
      <c r="C23" s="12"/>
      <c r="D23" s="14"/>
      <c r="E23" s="104" t="s">
        <v>21</v>
      </c>
      <c r="F23" s="5"/>
      <c r="G23" s="7"/>
      <c r="H23" s="35"/>
      <c r="I23" s="46"/>
      <c r="J23" s="12"/>
      <c r="K23" s="14"/>
      <c r="L23" s="104" t="s">
        <v>21</v>
      </c>
      <c r="M23" s="5"/>
      <c r="N23" s="7"/>
      <c r="O23" s="47"/>
      <c r="P23" s="58"/>
      <c r="Q23" s="12"/>
      <c r="R23" s="14"/>
      <c r="S23" s="104" t="s">
        <v>21</v>
      </c>
      <c r="T23" s="5"/>
      <c r="U23" s="7"/>
      <c r="V23" s="59"/>
      <c r="W23" s="70"/>
      <c r="X23" s="12"/>
      <c r="Y23" s="14"/>
      <c r="Z23" s="104" t="s">
        <v>21</v>
      </c>
      <c r="AA23" s="5"/>
      <c r="AB23" s="7"/>
      <c r="AC23" s="71"/>
    </row>
    <row r="24" spans="2:29" s="3" customFormat="1" ht="15.75" thickBot="1" x14ac:dyDescent="0.3">
      <c r="B24" s="34"/>
      <c r="C24" s="13" t="str">
        <f>IF(C23&gt;D23,"W",IF(D23&gt;C23,"L","E"))</f>
        <v>E</v>
      </c>
      <c r="D24" s="15" t="str">
        <f>IF(D23&gt;C23,"W",IF(C23&gt;D23,"L","E"))</f>
        <v>E</v>
      </c>
      <c r="E24" s="105"/>
      <c r="F24" s="13" t="str">
        <f>IF(F23&gt;G23,"W",IF(G23&gt;F23,"L","E"))</f>
        <v>E</v>
      </c>
      <c r="G24" s="11" t="str">
        <f>IF(G23&gt;F23,"W",IF(F23&gt;G23,"L","E"))</f>
        <v>E</v>
      </c>
      <c r="H24" s="35"/>
      <c r="I24" s="46"/>
      <c r="J24" s="13" t="str">
        <f>IF(J23&gt;K23,"W",IF(K23&gt;J23,"L","E"))</f>
        <v>E</v>
      </c>
      <c r="K24" s="15" t="str">
        <f>IF(K23&gt;J23,"W",IF(J23&gt;K23,"L","E"))</f>
        <v>E</v>
      </c>
      <c r="L24" s="105"/>
      <c r="M24" s="13" t="str">
        <f>IF(M23&gt;N23,"W",IF(N23&gt;M23,"L","E"))</f>
        <v>E</v>
      </c>
      <c r="N24" s="11" t="str">
        <f>IF(N23&gt;M23,"W",IF(M23&gt;N23,"L","E"))</f>
        <v>E</v>
      </c>
      <c r="O24" s="47"/>
      <c r="P24" s="58"/>
      <c r="Q24" s="13" t="str">
        <f>IF(Q23&gt;R23,"W",IF(R23&gt;Q23,"L","E"))</f>
        <v>E</v>
      </c>
      <c r="R24" s="15" t="str">
        <f>IF(R23&gt;Q23,"W",IF(Q23&gt;R23,"L","E"))</f>
        <v>E</v>
      </c>
      <c r="S24" s="105"/>
      <c r="T24" s="13" t="str">
        <f>IF(T23&gt;U23,"W",IF(U23&gt;T23,"L","E"))</f>
        <v>E</v>
      </c>
      <c r="U24" s="11" t="str">
        <f>IF(U23&gt;T23,"W",IF(T23&gt;U23,"L","E"))</f>
        <v>E</v>
      </c>
      <c r="V24" s="59"/>
      <c r="W24" s="70"/>
      <c r="X24" s="13" t="str">
        <f>IF(X23&gt;Y23,"W",IF(Y23&gt;X23,"L","E"))</f>
        <v>E</v>
      </c>
      <c r="Y24" s="15" t="str">
        <f>IF(Y23&gt;X23,"W",IF(X23&gt;Y23,"L","E"))</f>
        <v>E</v>
      </c>
      <c r="Z24" s="105"/>
      <c r="AA24" s="13" t="str">
        <f>IF(AA23&gt;AB23,"W",IF(AB23&gt;AA23,"L","E"))</f>
        <v>E</v>
      </c>
      <c r="AB24" s="11" t="str">
        <f>IF(AB23&gt;AA23,"W",IF(AA23&gt;AB23,"L","E"))</f>
        <v>E</v>
      </c>
      <c r="AC24" s="71"/>
    </row>
    <row r="25" spans="2:29" s="3" customFormat="1" ht="15.75" thickBot="1" x14ac:dyDescent="0.3">
      <c r="B25" s="34"/>
      <c r="C25" s="36"/>
      <c r="D25" s="36"/>
      <c r="E25" s="36"/>
      <c r="F25" s="36"/>
      <c r="G25" s="36"/>
      <c r="H25" s="35"/>
      <c r="I25" s="46"/>
      <c r="J25" s="36"/>
      <c r="K25" s="36"/>
      <c r="L25" s="36"/>
      <c r="M25" s="36"/>
      <c r="N25" s="36"/>
      <c r="O25" s="47"/>
      <c r="P25" s="58"/>
      <c r="Q25" s="36"/>
      <c r="R25" s="36"/>
      <c r="S25" s="36"/>
      <c r="T25" s="36"/>
      <c r="U25" s="36"/>
      <c r="V25" s="59"/>
      <c r="W25" s="70"/>
      <c r="X25" s="36"/>
      <c r="Y25" s="36"/>
      <c r="Z25" s="36"/>
      <c r="AA25" s="36"/>
      <c r="AB25" s="36"/>
      <c r="AC25" s="71"/>
    </row>
    <row r="26" spans="2:29" s="3" customFormat="1" ht="15.75" thickBot="1" x14ac:dyDescent="0.3">
      <c r="B26" s="34"/>
      <c r="C26" s="23" t="str">
        <f>D6</f>
        <v>ATLIT 1</v>
      </c>
      <c r="D26" s="24" t="str">
        <f>G6</f>
        <v>ATLIT 4</v>
      </c>
      <c r="E26" s="16" t="s">
        <v>1</v>
      </c>
      <c r="F26" s="17" t="str">
        <f>E6</f>
        <v>ATLIT 2</v>
      </c>
      <c r="G26" s="19" t="str">
        <f>F6</f>
        <v>ATLIT 3</v>
      </c>
      <c r="H26" s="35"/>
      <c r="I26" s="46"/>
      <c r="J26" s="23" t="str">
        <f>K6</f>
        <v>ATLIT 1</v>
      </c>
      <c r="K26" s="24" t="str">
        <f>N6</f>
        <v>ATLIT 4</v>
      </c>
      <c r="L26" s="16" t="s">
        <v>1</v>
      </c>
      <c r="M26" s="17" t="str">
        <f>L6</f>
        <v>ATLIT 2</v>
      </c>
      <c r="N26" s="19" t="str">
        <f>M6</f>
        <v>ATLIT 3</v>
      </c>
      <c r="O26" s="47"/>
      <c r="P26" s="58"/>
      <c r="Q26" s="23" t="str">
        <f>R6</f>
        <v>ATLIT 1</v>
      </c>
      <c r="R26" s="24" t="str">
        <f>U6</f>
        <v>ATLIT 4</v>
      </c>
      <c r="S26" s="16" t="s">
        <v>1</v>
      </c>
      <c r="T26" s="17" t="str">
        <f>S6</f>
        <v>ATLIT 2</v>
      </c>
      <c r="U26" s="19" t="str">
        <f>T6</f>
        <v>ATLIT 3</v>
      </c>
      <c r="V26" s="59"/>
      <c r="W26" s="70"/>
      <c r="X26" s="23" t="str">
        <f>Y6</f>
        <v>ATLIT 1</v>
      </c>
      <c r="Y26" s="24" t="str">
        <f>AB6</f>
        <v>ATLIT 4</v>
      </c>
      <c r="Z26" s="16" t="s">
        <v>1</v>
      </c>
      <c r="AA26" s="17" t="str">
        <f>Z6</f>
        <v>ATLIT 2</v>
      </c>
      <c r="AB26" s="19" t="str">
        <f>AA6</f>
        <v>ATLIT 3</v>
      </c>
      <c r="AC26" s="71"/>
    </row>
    <row r="27" spans="2:29" s="3" customFormat="1" x14ac:dyDescent="0.25">
      <c r="B27" s="34"/>
      <c r="C27" s="12"/>
      <c r="D27" s="14"/>
      <c r="E27" s="104" t="s">
        <v>21</v>
      </c>
      <c r="F27" s="5"/>
      <c r="G27" s="7"/>
      <c r="H27" s="35"/>
      <c r="I27" s="46"/>
      <c r="J27" s="12"/>
      <c r="K27" s="14"/>
      <c r="L27" s="104" t="s">
        <v>21</v>
      </c>
      <c r="M27" s="5"/>
      <c r="N27" s="7"/>
      <c r="O27" s="47"/>
      <c r="P27" s="58"/>
      <c r="Q27" s="12"/>
      <c r="R27" s="14"/>
      <c r="S27" s="104" t="s">
        <v>21</v>
      </c>
      <c r="T27" s="5"/>
      <c r="U27" s="7"/>
      <c r="V27" s="59"/>
      <c r="W27" s="70"/>
      <c r="X27" s="12"/>
      <c r="Y27" s="14"/>
      <c r="Z27" s="104" t="s">
        <v>21</v>
      </c>
      <c r="AA27" s="5"/>
      <c r="AB27" s="7"/>
      <c r="AC27" s="71"/>
    </row>
    <row r="28" spans="2:29" s="3" customFormat="1" ht="15.75" thickBot="1" x14ac:dyDescent="0.3">
      <c r="B28" s="34"/>
      <c r="C28" s="13" t="str">
        <f>IF(C27&gt;D27,"W",IF(D27&gt;C27,"L","E"))</f>
        <v>E</v>
      </c>
      <c r="D28" s="15" t="str">
        <f>IF(D27&gt;C27,"W",IF(C27&gt;D27,"L","E"))</f>
        <v>E</v>
      </c>
      <c r="E28" s="105"/>
      <c r="F28" s="13" t="str">
        <f>IF(F27&gt;G27,"W",IF(G27&gt;F27,"L","E"))</f>
        <v>E</v>
      </c>
      <c r="G28" s="11" t="str">
        <f>IF(G27&gt;F27,"W",IF(F27&gt;G27,"L","E"))</f>
        <v>E</v>
      </c>
      <c r="H28" s="35"/>
      <c r="I28" s="46"/>
      <c r="J28" s="13" t="str">
        <f>IF(J27&gt;K27,"W",IF(K27&gt;J27,"L","E"))</f>
        <v>E</v>
      </c>
      <c r="K28" s="15" t="str">
        <f>IF(K27&gt;J27,"W",IF(J27&gt;K27,"L","E"))</f>
        <v>E</v>
      </c>
      <c r="L28" s="105"/>
      <c r="M28" s="13" t="str">
        <f>IF(M27&gt;N27,"W",IF(N27&gt;M27,"L","E"))</f>
        <v>E</v>
      </c>
      <c r="N28" s="11" t="str">
        <f>IF(N27&gt;M27,"W",IF(M27&gt;N27,"L","E"))</f>
        <v>E</v>
      </c>
      <c r="O28" s="47"/>
      <c r="P28" s="58"/>
      <c r="Q28" s="13" t="str">
        <f>IF(Q27&gt;R27,"W",IF(R27&gt;Q27,"L","E"))</f>
        <v>E</v>
      </c>
      <c r="R28" s="15" t="str">
        <f>IF(R27&gt;Q27,"W",IF(Q27&gt;R27,"L","E"))</f>
        <v>E</v>
      </c>
      <c r="S28" s="105"/>
      <c r="T28" s="13" t="str">
        <f>IF(T27&gt;U27,"W",IF(U27&gt;T27,"L","E"))</f>
        <v>E</v>
      </c>
      <c r="U28" s="11" t="str">
        <f>IF(U27&gt;T27,"W",IF(T27&gt;U27,"L","E"))</f>
        <v>E</v>
      </c>
      <c r="V28" s="59"/>
      <c r="W28" s="70"/>
      <c r="X28" s="13" t="str">
        <f>IF(X27&gt;Y27,"W",IF(Y27&gt;X27,"L","E"))</f>
        <v>E</v>
      </c>
      <c r="Y28" s="15" t="str">
        <f>IF(Y27&gt;X27,"W",IF(X27&gt;Y27,"L","E"))</f>
        <v>E</v>
      </c>
      <c r="Z28" s="105"/>
      <c r="AA28" s="13" t="str">
        <f>IF(AA27&gt;AB27,"W",IF(AB27&gt;AA27,"L","E"))</f>
        <v>E</v>
      </c>
      <c r="AB28" s="11" t="str">
        <f>IF(AB27&gt;AA27,"W",IF(AA27&gt;AB27,"L","E"))</f>
        <v>E</v>
      </c>
      <c r="AC28" s="71"/>
    </row>
    <row r="29" spans="2:29" ht="5.25" customHeight="1" thickBot="1" x14ac:dyDescent="0.3">
      <c r="B29" s="38"/>
      <c r="C29" s="39"/>
      <c r="D29" s="39"/>
      <c r="E29" s="39"/>
      <c r="F29" s="39"/>
      <c r="G29" s="39"/>
      <c r="H29" s="40"/>
      <c r="I29" s="50"/>
      <c r="J29" s="51"/>
      <c r="K29" s="51"/>
      <c r="L29" s="51"/>
      <c r="M29" s="51"/>
      <c r="N29" s="51"/>
      <c r="O29" s="52"/>
      <c r="P29" s="62"/>
      <c r="Q29" s="63"/>
      <c r="R29" s="63"/>
      <c r="S29" s="63"/>
      <c r="T29" s="63"/>
      <c r="U29" s="63"/>
      <c r="V29" s="64"/>
      <c r="W29" s="73"/>
      <c r="X29" s="74"/>
      <c r="Y29" s="74"/>
      <c r="Z29" s="74"/>
      <c r="AA29" s="74"/>
      <c r="AB29" s="74"/>
      <c r="AC29" s="75"/>
    </row>
    <row r="47" spans="3:28" ht="15.75" thickBot="1" x14ac:dyDescent="0.3"/>
    <row r="48" spans="3:28" ht="15.75" thickBot="1" x14ac:dyDescent="0.3">
      <c r="C48" s="16" t="s">
        <v>1</v>
      </c>
      <c r="D48" s="17" t="s">
        <v>6</v>
      </c>
      <c r="E48" s="18" t="s">
        <v>20</v>
      </c>
      <c r="F48" s="18" t="s">
        <v>5</v>
      </c>
      <c r="G48" s="19" t="s">
        <v>7</v>
      </c>
      <c r="H48" s="3"/>
      <c r="I48" s="3"/>
      <c r="J48" s="16" t="s">
        <v>1</v>
      </c>
      <c r="K48" s="17" t="s">
        <v>6</v>
      </c>
      <c r="L48" s="18" t="s">
        <v>20</v>
      </c>
      <c r="M48" s="18" t="s">
        <v>5</v>
      </c>
      <c r="N48" s="19" t="s">
        <v>7</v>
      </c>
      <c r="O48" s="3"/>
      <c r="P48" s="3"/>
      <c r="Q48" s="16" t="s">
        <v>1</v>
      </c>
      <c r="R48" s="17" t="s">
        <v>6</v>
      </c>
      <c r="S48" s="18" t="s">
        <v>20</v>
      </c>
      <c r="T48" s="18" t="s">
        <v>5</v>
      </c>
      <c r="U48" s="19" t="s">
        <v>7</v>
      </c>
      <c r="V48" s="3"/>
      <c r="W48" s="3"/>
      <c r="X48" s="16" t="s">
        <v>1</v>
      </c>
      <c r="Y48" s="17" t="s">
        <v>6</v>
      </c>
      <c r="Z48" s="18" t="s">
        <v>20</v>
      </c>
      <c r="AA48" s="18" t="s">
        <v>5</v>
      </c>
      <c r="AB48" s="19" t="s">
        <v>7</v>
      </c>
    </row>
    <row r="49" spans="3:28" x14ac:dyDescent="0.25">
      <c r="C49" s="20" t="str">
        <f>D6</f>
        <v>ATLIT 1</v>
      </c>
      <c r="D49" s="5">
        <f>COUNT(C19,C23,C27)</f>
        <v>0</v>
      </c>
      <c r="E49" s="4" t="str">
        <f>(COUNTIF(C20,"W")+COUNTIF(C24,"W")+COUNTIF(C28,"W"))&amp;"-"&amp;(COUNTIF(C20,"L")+COUNTIF(C24,"L")+COUNTIF(C28,"L"))</f>
        <v>0-0</v>
      </c>
      <c r="F49" s="4" t="str">
        <f>(C19+C23+C27)&amp;"-"&amp;(D19+D23+D27)</f>
        <v>0-0</v>
      </c>
      <c r="G49" s="7">
        <f>IF((C19-D19)&gt;1,3,IF((C19-D19)=1,2,IF((D19-C19)=1,1,0)))+IF((C23-D23)&gt;1, 3,IF((C23-D23)=1,2,IF((D23-C23)=1,1,0)))+IF((C27-D27)&gt;1, 3,IF((C27-D27)=1,2,IF((D27-C27)=1,1,0)))</f>
        <v>0</v>
      </c>
      <c r="H49" s="3"/>
      <c r="I49" s="3"/>
      <c r="J49" s="20" t="str">
        <f>K6</f>
        <v>ATLIT 1</v>
      </c>
      <c r="K49" s="5">
        <f>COUNT(J19,J23,J27)</f>
        <v>0</v>
      </c>
      <c r="L49" s="4" t="str">
        <f>(COUNTIF(J20,"W")+COUNTIF(J24,"W")+COUNTIF(J28,"W"))&amp;"-"&amp;(COUNTIF(J20,"L")+COUNTIF(J24,"L")+COUNTIF(J28,"L"))</f>
        <v>0-0</v>
      </c>
      <c r="M49" s="4" t="str">
        <f>(J19+J23+J27)&amp;"-"&amp;(K19+K23+K27)</f>
        <v>0-0</v>
      </c>
      <c r="N49" s="7">
        <f>IF((J19-K19)&gt;1,3,IF((J19-K19)=1,2,IF((K19-J19)=1,1,0)))+IF((J23-K23)&gt;1, 3,IF((J23-K23)=1,2,IF((K23-J23)=1,1,0)))+IF((J27-K27)&gt;1, 3,IF((J27-K27)=1,2,IF((K27-J27)=1,1,0)))</f>
        <v>0</v>
      </c>
      <c r="O49" s="3"/>
      <c r="P49" s="3"/>
      <c r="Q49" s="20" t="str">
        <f>R6</f>
        <v>ATLIT 1</v>
      </c>
      <c r="R49" s="5">
        <f>COUNT(Q19,Q23,Q27)</f>
        <v>0</v>
      </c>
      <c r="S49" s="4" t="str">
        <f>(COUNTIF(Q20,"W")+COUNTIF(Q24,"W")+COUNTIF(Q28,"W"))&amp;"-"&amp;(COUNTIF(Q20,"L")+COUNTIF(Q24,"L")+COUNTIF(Q28,"L"))</f>
        <v>0-0</v>
      </c>
      <c r="T49" s="4" t="str">
        <f>(Q19+Q23+Q27)&amp;"-"&amp;(R19+R23+R27)</f>
        <v>0-0</v>
      </c>
      <c r="U49" s="7">
        <f>IF((Q19-R19)&gt;1,3,IF((Q19-R19)=1,2,IF((R19-Q19)=1,1,0)))+IF((Q23-R23)&gt;1, 3,IF((Q23-R23)=1,2,IF((R23-Q23)=1,1,0)))+IF((Q27-R27)&gt;1, 3,IF((Q27-R27)=1,2,IF((R27-Q27)=1,1,0)))</f>
        <v>0</v>
      </c>
      <c r="V49" s="3"/>
      <c r="W49" s="3"/>
      <c r="X49" s="20" t="str">
        <f>Y6</f>
        <v>ATLIT 1</v>
      </c>
      <c r="Y49" s="5">
        <f>COUNT(X19,X23,X27)</f>
        <v>0</v>
      </c>
      <c r="Z49" s="4" t="str">
        <f>(COUNTIF(X20,"W")+COUNTIF(X24,"W")+COUNTIF(X28,"W"))&amp;"-"&amp;(COUNTIF(X20,"L")+COUNTIF(X24,"L")+COUNTIF(X28,"L"))</f>
        <v>0-0</v>
      </c>
      <c r="AA49" s="4" t="str">
        <f>(X19+X23+X27)&amp;"-"&amp;(Y19+Y23+Y27)</f>
        <v>0-0</v>
      </c>
      <c r="AB49" s="7">
        <f>IF((X19-Y19)&gt;1,3,IF((X19-Y19)=1,2,IF((Y19-X19)=1,1,0)))+IF((X23-Y23)&gt;1, 3,IF((X23-Y23)=1,2,IF((Y23-X23)=1,1,0)))+IF((X27-Y27)&gt;1, 3,IF((X27-Y27)=1,2,IF((Y27-X27)=1,1,0)))</f>
        <v>0</v>
      </c>
    </row>
    <row r="50" spans="3:28" x14ac:dyDescent="0.25">
      <c r="C50" s="21" t="str">
        <f>E6</f>
        <v>ATLIT 2</v>
      </c>
      <c r="D50" s="6">
        <f>COUNT(D19,F23,F27)</f>
        <v>0</v>
      </c>
      <c r="E50" s="1" t="str">
        <f>(COUNTIF(D20,"W")+COUNTIF(F24,"W")+COUNTIF(F28,"W"))&amp;"-"&amp;(COUNTIF(D20,"L")+COUNTIF(F24,"L")+COUNTIF(F28,"L"))</f>
        <v>0-0</v>
      </c>
      <c r="F50" s="1" t="str">
        <f>(D19+F23+F27)&amp;"-"&amp;(C19+G23+G27)</f>
        <v>0-0</v>
      </c>
      <c r="G50" s="8">
        <f>IF((D19-C19)&gt;1,3,IF((D19-C19)=1,2,IF((C19-D19)=1,1,0)))+IF((F23-G23)&gt;1, 3,IF((F23-G23)=1,2,IF((G23-F23)=1,1,0)))+IF((F27-G27)&gt;1, 3,IF((F27-G27)=1,2,IF((G27-F27)=1,1,0)))</f>
        <v>0</v>
      </c>
      <c r="H50" s="3"/>
      <c r="I50" s="3"/>
      <c r="J50" s="21" t="str">
        <f>L6</f>
        <v>ATLIT 2</v>
      </c>
      <c r="K50" s="6">
        <f>COUNT(K19,M23,M27)</f>
        <v>0</v>
      </c>
      <c r="L50" s="1" t="str">
        <f>(COUNTIF(K20,"W")+COUNTIF(M24,"W")+COUNTIF(M28,"W"))&amp;"-"&amp;(COUNTIF(K20,"L")+COUNTIF(M24,"L")+COUNTIF(M28,"L"))</f>
        <v>0-0</v>
      </c>
      <c r="M50" s="1" t="str">
        <f>(K19+M23+M27)&amp;"-"&amp;(J19+N23+N27)</f>
        <v>0-0</v>
      </c>
      <c r="N50" s="8">
        <f>IF((K19-J19)&gt;1,3,IF((K19-J19)=1,2,IF((J19-K19)=1,1,0)))+IF((M23-N23)&gt;1, 3,IF((M23-N23)=1,2,IF((N23-M23)=1,1,0)))+IF((M27-N27)&gt;1, 3,IF((M27-N27)=1,2,IF((N27-M27)=1,1,0)))</f>
        <v>0</v>
      </c>
      <c r="O50" s="3"/>
      <c r="P50" s="3"/>
      <c r="Q50" s="21" t="str">
        <f>S6</f>
        <v>ATLIT 2</v>
      </c>
      <c r="R50" s="6">
        <f>COUNT(R19,T23,T27)</f>
        <v>0</v>
      </c>
      <c r="S50" s="1" t="str">
        <f>(COUNTIF(R20,"W")+COUNTIF(T24,"W")+COUNTIF(T28,"W"))&amp;"-"&amp;(COUNTIF(R20,"L")+COUNTIF(T24,"L")+COUNTIF(T28,"L"))</f>
        <v>0-0</v>
      </c>
      <c r="T50" s="1" t="str">
        <f>(R19+T23+T27)&amp;"-"&amp;(Q19+U23+U27)</f>
        <v>0-0</v>
      </c>
      <c r="U50" s="8">
        <f>IF((R19-Q19)&gt;1,3,IF((R19-Q19)=1,2,IF((Q19-R19)=1,1,0)))+IF((T23-U23)&gt;1, 3,IF((T23-U23)=1,2,IF((U23-T23)=1,1,0)))+IF((T27-U27)&gt;1, 3,IF((T27-U27)=1,2,IF((U27-T27)=1,1,0)))</f>
        <v>0</v>
      </c>
      <c r="V50" s="3"/>
      <c r="W50" s="3"/>
      <c r="X50" s="21" t="str">
        <f>Z6</f>
        <v>ATLIT 2</v>
      </c>
      <c r="Y50" s="6">
        <f>COUNT(Y19,AA23,AA27)</f>
        <v>0</v>
      </c>
      <c r="Z50" s="1" t="str">
        <f>(COUNTIF(Y20,"W")+COUNTIF(AA24,"W")+COUNTIF(AA28,"W"))&amp;"-"&amp;(COUNTIF(Y20,"L")+COUNTIF(AA24,"L")+COUNTIF(AA28,"L"))</f>
        <v>0-0</v>
      </c>
      <c r="AA50" s="1" t="str">
        <f>(Y19+AA23+AA27)&amp;"-"&amp;(X19+AB23+AB27)</f>
        <v>0-0</v>
      </c>
      <c r="AB50" s="8">
        <f>IF((Y19-X19)&gt;1,3,IF((Y19-X19)=1,2,IF((X19-Y19)=1,1,0)))+IF((AA23-AB23)&gt;1, 3,IF((AA23-AB23)=1,2,IF((AB23-AA23)=1,1,0)))+IF((AA27-AB27)&gt;1, 3,IF((AA27-AB27)=1,2,IF((AB27-AA27)=1,1,0)))</f>
        <v>0</v>
      </c>
    </row>
    <row r="51" spans="3:28" x14ac:dyDescent="0.25">
      <c r="C51" s="21" t="str">
        <f>F6</f>
        <v>ATLIT 3</v>
      </c>
      <c r="D51" s="6">
        <f>COUNT(F19,D23,G27)</f>
        <v>0</v>
      </c>
      <c r="E51" s="1" t="str">
        <f>(COUNTIF(F20,"W")+COUNTIF(D24,"W")+COUNTIF(G28,"W"))&amp;"-"&amp;(COUNTIF(F20,"L")+COUNTIF(D24,"L")+COUNTIF(G28,"L"))</f>
        <v>0-0</v>
      </c>
      <c r="F51" s="1" t="str">
        <f>(F19+D23+G27)&amp;"-"&amp;(G19+C23+F27)</f>
        <v>0-0</v>
      </c>
      <c r="G51" s="8">
        <f>IF((F19-G19)&gt;1,3,IF((F19-G19)=1,2,IF((G19-F19)=1,1,0)))+IF((D23-C23)&gt;1, 3,IF((D23-C23)=1,2,IF((C23-D23)=1,1,0)))+IF((G27-F27)&gt;1, 3,IF((G27-F27)=1,2,IF((F27-G27)=1,1,0)))</f>
        <v>0</v>
      </c>
      <c r="H51" s="3"/>
      <c r="I51" s="3"/>
      <c r="J51" s="21" t="str">
        <f>M6</f>
        <v>ATLIT 3</v>
      </c>
      <c r="K51" s="6">
        <f>COUNT(M19,K23,N27)</f>
        <v>0</v>
      </c>
      <c r="L51" s="1" t="str">
        <f>(COUNTIF(M20,"W")+COUNTIF(K24,"W")+COUNTIF(N28,"W"))&amp;"-"&amp;(COUNTIF(M20,"L")+COUNTIF(K24,"L")+COUNTIF(N28,"L"))</f>
        <v>0-0</v>
      </c>
      <c r="M51" s="1" t="str">
        <f>(M19+K23+N27)&amp;"-"&amp;(N19+J23+M27)</f>
        <v>0-0</v>
      </c>
      <c r="N51" s="8">
        <f>IF((M19-N19)&gt;1,3,IF((M19-N19)=1,2,IF((N19-M19)=1,1,0)))+IF((K23-J23)&gt;1, 3,IF((K23-J23)=1,2,IF((J23-K23)=1,1,0)))+IF((N27-M27)&gt;1, 3,IF((N27-M27)=1,2,IF((M27-N27)=1,1,0)))</f>
        <v>0</v>
      </c>
      <c r="O51" s="3"/>
      <c r="P51" s="3"/>
      <c r="Q51" s="21" t="str">
        <f>T6</f>
        <v>ATLIT 3</v>
      </c>
      <c r="R51" s="6">
        <f>COUNT(T19,R23,U27)</f>
        <v>0</v>
      </c>
      <c r="S51" s="1" t="str">
        <f>(COUNTIF(T20,"W")+COUNTIF(R24,"W")+COUNTIF(U28,"W"))&amp;"-"&amp;(COUNTIF(T20,"L")+COUNTIF(R24,"L")+COUNTIF(U28,"L"))</f>
        <v>0-0</v>
      </c>
      <c r="T51" s="1" t="str">
        <f>(T19+R23+U27)&amp;"-"&amp;(U19+Q23+T27)</f>
        <v>0-0</v>
      </c>
      <c r="U51" s="8">
        <f>IF((T19-U19)&gt;1,3,IF((T19-U19)=1,2,IF((U19-T19)=1,1,0)))+IF((R23-Q23)&gt;1, 3,IF((R23-Q23)=1,2,IF((Q23-R23)=1,1,0)))+IF((U27-T27)&gt;1, 3,IF((U27-T27)=1,2,IF((T27-U27)=1,1,0)))</f>
        <v>0</v>
      </c>
      <c r="V51" s="3"/>
      <c r="W51" s="3"/>
      <c r="X51" s="21" t="str">
        <f>AA6</f>
        <v>ATLIT 3</v>
      </c>
      <c r="Y51" s="6">
        <f>COUNT(AA19,Y23,AB27)</f>
        <v>0</v>
      </c>
      <c r="Z51" s="1" t="str">
        <f>(COUNTIF(AA20,"W")+COUNTIF(Y24,"W")+COUNTIF(AB28,"W"))&amp;"-"&amp;(COUNTIF(AA20,"L")+COUNTIF(Y24,"L")+COUNTIF(AB28,"L"))</f>
        <v>0-0</v>
      </c>
      <c r="AA51" s="1" t="str">
        <f>(AA19+Y23+AB27)&amp;"-"&amp;(AB19+X23+AA27)</f>
        <v>0-0</v>
      </c>
      <c r="AB51" s="8">
        <f>IF((AA19-AB19)&gt;1,3,IF((AA19-AB19)=1,2,IF((AB19-AA19)=1,1,0)))+IF((Y23-X23)&gt;1, 3,IF((Y23-X23)=1,2,IF((X23-Y23)=1,1,0)))+IF((AB27-AA27)&gt;1, 3,IF((AB27-AA27)=1,2,IF((AA27-AB27)=1,1,0)))</f>
        <v>0</v>
      </c>
    </row>
    <row r="52" spans="3:28" ht="15.75" thickBot="1" x14ac:dyDescent="0.3">
      <c r="C52" s="22" t="str">
        <f>G6</f>
        <v>ATLIT 4</v>
      </c>
      <c r="D52" s="9">
        <f>COUNT(G19,G23,D27)</f>
        <v>0</v>
      </c>
      <c r="E52" s="84" t="str">
        <f>(COUNTIF(G20,"W")+COUNTIF(G24,"W")+COUNTIF(D28,"W"))&amp;"-"&amp;(COUNTIF(G20,"L")+COUNTIF(G24,"L")+COUNTIF(D28,"L"))</f>
        <v>0-0</v>
      </c>
      <c r="F52" s="84" t="str">
        <f>(G19+G23+D27)&amp;"-"&amp;(F19+F23+C27)</f>
        <v>0-0</v>
      </c>
      <c r="G52" s="85">
        <f>IF((G19-F19)&gt;1,3,IF((G19-F19)=1,2,IF((F19-G19)=1,1,0)))+IF((G23-F23)&gt;1, 3,IF((G23-F23)=1,2,IF((F23-G23)=1,1,0)))+IF((D27-C27)&gt;1, 3,IF((D27-C27)=1,2,IF((C27-D27)=1,1,0)))</f>
        <v>0</v>
      </c>
      <c r="H52" s="3"/>
      <c r="I52" s="3"/>
      <c r="J52" s="22" t="str">
        <f>N6</f>
        <v>ATLIT 4</v>
      </c>
      <c r="K52" s="9">
        <f>COUNT(N19,N23,K27)</f>
        <v>0</v>
      </c>
      <c r="L52" s="92" t="str">
        <f>(COUNTIF(N20,"W")+COUNTIF(N24,"W")+COUNTIF(K28,"W"))&amp;"-"&amp;(COUNTIF(N20,"L")+COUNTIF(N24,"L")+COUNTIF(K28,"L"))</f>
        <v>0-0</v>
      </c>
      <c r="M52" s="92" t="str">
        <f>(N19+N23+K27)&amp;"-"&amp;(M19+M23+J27)</f>
        <v>0-0</v>
      </c>
      <c r="N52" s="93">
        <f>IF((N19-M19)&gt;1,3,IF((N19-M19)=1,2,IF((M19-N19)=1,1,0)))+IF((N23-M23)&gt;1, 3,IF((N23-M23)=1,2,IF((M23-N23)=1,1,0)))+IF((K27-J27)&gt;1, 3,IF((K27-J27)=1,2,IF((J27-K27)=1,1,0)))</f>
        <v>0</v>
      </c>
      <c r="O52" s="3"/>
      <c r="P52" s="3"/>
      <c r="Q52" s="22" t="str">
        <f>U6</f>
        <v>ATLIT 4</v>
      </c>
      <c r="R52" s="9">
        <f>COUNT(U19,U23,R27)</f>
        <v>0</v>
      </c>
      <c r="S52" s="92" t="str">
        <f>(COUNTIF(U20,"W")+COUNTIF(U24,"W")+COUNTIF(R28,"W"))&amp;"-"&amp;(COUNTIF(U20,"L")+COUNTIF(U24,"L")+COUNTIF(R28,"L"))</f>
        <v>0-0</v>
      </c>
      <c r="T52" s="92" t="str">
        <f>(U19+U23+R27)&amp;"-"&amp;(T19+T23+Q27)</f>
        <v>0-0</v>
      </c>
      <c r="U52" s="93">
        <f>IF((U19-T19)&gt;1,3,IF((U19-T19)=1,2,IF((T19-U19)=1,1,0)))+IF((U23-T23)&gt;1, 3,IF((U23-T23)=1,2,IF((T23-U23)=1,1,0)))+IF((R27-Q27)&gt;1, 3,IF((R27-Q27)=1,2,IF((Q27-R27)=1,1,0)))</f>
        <v>0</v>
      </c>
      <c r="V52" s="3"/>
      <c r="W52" s="3"/>
      <c r="X52" s="22" t="str">
        <f>AB6</f>
        <v>ATLIT 4</v>
      </c>
      <c r="Y52" s="9">
        <f>COUNT(AB19,AB23,Y27)</f>
        <v>0</v>
      </c>
      <c r="Z52" s="92" t="str">
        <f>(COUNTIF(AB20,"W")+COUNTIF(AB24,"W")+COUNTIF(Y28,"W"))&amp;"-"&amp;(COUNTIF(AB20,"L")+COUNTIF(AB24,"L")+COUNTIF(Y28,"L"))</f>
        <v>0-0</v>
      </c>
      <c r="AA52" s="92" t="str">
        <f>(AB19+AB23+Y27)&amp;"-"&amp;(AA19+AA23+X27)</f>
        <v>0-0</v>
      </c>
      <c r="AB52" s="93">
        <f>IF((AB19-AA19)&gt;1,3,IF((AB19-AA19)=1,2,IF((AA19-AB19)=1,1,0)))+IF((AB23-AA23)&gt;1, 3,IF((AB23-AA23)=1,2,IF((AA23-AB23)=1,1,0)))+IF((Y27-X27)&gt;1, 3,IF((Y27-X27)=1,2,IF((X27-Y27)=1,1,0)))</f>
        <v>0</v>
      </c>
    </row>
  </sheetData>
  <mergeCells count="18">
    <mergeCell ref="C1:AB1"/>
    <mergeCell ref="C2:AB2"/>
    <mergeCell ref="C4:F5"/>
    <mergeCell ref="J4:M5"/>
    <mergeCell ref="Q4:T5"/>
    <mergeCell ref="X4:AA5"/>
    <mergeCell ref="E19:E20"/>
    <mergeCell ref="Z19:Z20"/>
    <mergeCell ref="Z23:Z24"/>
    <mergeCell ref="Z27:Z28"/>
    <mergeCell ref="E23:E24"/>
    <mergeCell ref="E27:E28"/>
    <mergeCell ref="L19:L20"/>
    <mergeCell ref="L23:L24"/>
    <mergeCell ref="L27:L28"/>
    <mergeCell ref="S19:S20"/>
    <mergeCell ref="S23:S24"/>
    <mergeCell ref="S27:S28"/>
  </mergeCells>
  <conditionalFormatting sqref="A20:XFD20 A24:XFD24 A28:XFD28">
    <cfRule type="containsText" dxfId="10" priority="1" operator="containsText" text="E">
      <formula>NOT(ISERROR(SEARCH("E",A20)))</formula>
    </cfRule>
    <cfRule type="containsText" dxfId="9" priority="5" operator="containsText" text="L">
      <formula>NOT(ISERROR(SEARCH("L",A20)))</formula>
    </cfRule>
    <cfRule type="containsText" dxfId="8" priority="6" operator="containsText" text="W">
      <formula>NOT(ISERROR(SEARCH("W",A20)))</formula>
    </cfRule>
  </conditionalFormatting>
  <conditionalFormatting sqref="B1:C2 AC1:XFD2 A3:XFD3 A6:XFD1048576 A4:C4 A5:B5 G5:I5 G4:J4 N5:P5 N4:Q4 U5:W5 U4:X4 AB4:XFD5">
    <cfRule type="containsText" dxfId="7" priority="3" operator="containsText" text="VS">
      <formula>NOT(ISERROR(SEARCH("VS",A1)))</formula>
    </cfRule>
    <cfRule type="containsText" dxfId="6" priority="4" operator="containsText" text="NAMA">
      <formula>NOT(ISERROR(SEARCH("NAMA",A1)))</formula>
    </cfRule>
  </conditionalFormatting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A554-B30B-4875-9542-2ECF00D47E30}">
  <sheetPr codeName="Sheet2"/>
  <dimension ref="B1:AE35"/>
  <sheetViews>
    <sheetView showGridLines="0" topLeftCell="A4" zoomScale="120" zoomScaleNormal="120" workbookViewId="0">
      <selection activeCell="Z24" sqref="Z24"/>
    </sheetView>
  </sheetViews>
  <sheetFormatPr defaultRowHeight="15" x14ac:dyDescent="0.25"/>
  <cols>
    <col min="1" max="1" width="1.28515625" style="3" customWidth="1"/>
    <col min="2" max="2" width="10.42578125" style="3" customWidth="1"/>
    <col min="3" max="4" width="3" style="3" customWidth="1"/>
    <col min="5" max="6" width="3.7109375" style="3" customWidth="1"/>
    <col min="7" max="7" width="10.42578125" style="3" bestFit="1" customWidth="1"/>
    <col min="8" max="9" width="3" style="3" customWidth="1"/>
    <col min="10" max="11" width="3.7109375" style="3" customWidth="1"/>
    <col min="12" max="12" width="10.42578125" style="3" customWidth="1"/>
    <col min="13" max="14" width="3" style="3" customWidth="1"/>
    <col min="15" max="15" width="3.7109375" style="3" customWidth="1"/>
    <col min="16" max="17" width="9.140625" style="3"/>
    <col min="18" max="18" width="3.7109375" style="3" customWidth="1"/>
    <col min="19" max="20" width="3" style="3" customWidth="1"/>
    <col min="21" max="21" width="10.42578125" style="3" customWidth="1"/>
    <col min="22" max="23" width="3.7109375" style="3" customWidth="1"/>
    <col min="24" max="25" width="3" style="3" customWidth="1"/>
    <col min="26" max="26" width="10.42578125" style="3" customWidth="1"/>
    <col min="27" max="28" width="3.7109375" style="3" customWidth="1"/>
    <col min="29" max="30" width="3" style="3" customWidth="1"/>
    <col min="31" max="31" width="10.42578125" style="3" customWidth="1"/>
    <col min="32" max="32" width="1.28515625" style="3" customWidth="1"/>
    <col min="33" max="16384" width="9.140625" style="3"/>
  </cols>
  <sheetData>
    <row r="1" spans="2:31" x14ac:dyDescent="0.25">
      <c r="B1" s="106" t="s">
        <v>17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</row>
    <row r="2" spans="2:31" x14ac:dyDescent="0.25"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</row>
    <row r="3" spans="2:31" x14ac:dyDescent="0.25">
      <c r="B3" s="106" t="s">
        <v>18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</row>
    <row r="4" spans="2:31" x14ac:dyDescent="0.25"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</row>
    <row r="5" spans="2:31" ht="15.75" thickBot="1" x14ac:dyDescent="0.3"/>
    <row r="6" spans="2:31" ht="9.75" customHeight="1" x14ac:dyDescent="0.25">
      <c r="B6" s="116" t="s">
        <v>8</v>
      </c>
      <c r="C6" s="118"/>
      <c r="D6" s="124" t="str">
        <f>IF(C6&gt;C10,"W",IF(C10&gt;C6,"L","E"))</f>
        <v>E</v>
      </c>
      <c r="AC6" s="116" t="str">
        <f>IF(AD6&gt;AD10,"W",IF(AD10&gt;AD6,"L","E"))</f>
        <v>E</v>
      </c>
      <c r="AD6" s="118"/>
      <c r="AE6" s="124" t="s">
        <v>13</v>
      </c>
    </row>
    <row r="7" spans="2:31" ht="9.75" customHeight="1" thickBot="1" x14ac:dyDescent="0.3">
      <c r="B7" s="117"/>
      <c r="C7" s="119"/>
      <c r="D7" s="125"/>
      <c r="E7" s="76"/>
      <c r="AB7" s="77"/>
      <c r="AC7" s="117"/>
      <c r="AD7" s="119"/>
      <c r="AE7" s="125"/>
    </row>
    <row r="8" spans="2:31" ht="9.75" customHeight="1" x14ac:dyDescent="0.25">
      <c r="E8" s="78"/>
      <c r="G8" s="116" t="str">
        <f>IF(D6="W",B6,IF(D10="W",B10,"SEMIFINAL"))</f>
        <v>SEMIFINAL</v>
      </c>
      <c r="H8" s="118"/>
      <c r="I8" s="124" t="str">
        <f>IF(H8&gt;H16,"W",IF(H16&gt;H8,"L","E"))</f>
        <v>E</v>
      </c>
      <c r="X8" s="116" t="str">
        <f>IF(Y8&gt;Y16,"W",IF(Y16&gt;Y8,"L","E"))</f>
        <v>E</v>
      </c>
      <c r="Y8" s="118"/>
      <c r="Z8" s="124" t="str">
        <f>IF(AC6="W",AE6,IF(AC10="W",AE10,"SEMIFINAL"))</f>
        <v>SEMIFINAL</v>
      </c>
      <c r="AB8" s="79"/>
    </row>
    <row r="9" spans="2:31" ht="9.75" customHeight="1" thickBot="1" x14ac:dyDescent="0.3">
      <c r="E9" s="78"/>
      <c r="F9" s="80"/>
      <c r="G9" s="117"/>
      <c r="H9" s="119"/>
      <c r="I9" s="125"/>
      <c r="J9" s="76"/>
      <c r="W9" s="77"/>
      <c r="X9" s="117"/>
      <c r="Y9" s="119"/>
      <c r="Z9" s="125"/>
      <c r="AA9" s="80"/>
      <c r="AB9" s="79"/>
    </row>
    <row r="10" spans="2:31" ht="9.75" customHeight="1" x14ac:dyDescent="0.25">
      <c r="B10" s="116" t="s">
        <v>9</v>
      </c>
      <c r="C10" s="118"/>
      <c r="D10" s="124" t="str">
        <f>IF(C10&gt;C6,"W",IF(C6&gt;C10,"L","E"))</f>
        <v>E</v>
      </c>
      <c r="E10" s="81"/>
      <c r="J10" s="78"/>
      <c r="P10" s="110" t="s">
        <v>12</v>
      </c>
      <c r="Q10" s="111"/>
      <c r="W10" s="79"/>
      <c r="AB10" s="82"/>
      <c r="AC10" s="116" t="str">
        <f>IF(AD10&gt;AD6,"W",IF(AD6&gt;AD10,"L","E"))</f>
        <v>E</v>
      </c>
      <c r="AD10" s="118"/>
      <c r="AE10" s="124" t="s">
        <v>14</v>
      </c>
    </row>
    <row r="11" spans="2:31" ht="9.75" customHeight="1" thickBot="1" x14ac:dyDescent="0.3">
      <c r="B11" s="117"/>
      <c r="C11" s="119"/>
      <c r="D11" s="125"/>
      <c r="E11" s="80"/>
      <c r="J11" s="78"/>
      <c r="P11" s="112"/>
      <c r="Q11" s="113"/>
      <c r="W11" s="79"/>
      <c r="AB11" s="80"/>
      <c r="AC11" s="117"/>
      <c r="AD11" s="119"/>
      <c r="AE11" s="125"/>
    </row>
    <row r="12" spans="2:31" ht="9.75" customHeight="1" x14ac:dyDescent="0.25">
      <c r="J12" s="78"/>
      <c r="L12" s="116" t="str">
        <f>IF(I8="W",G8,IF(I16="W",G16,"FINAL"))</f>
        <v>FINAL</v>
      </c>
      <c r="M12" s="118"/>
      <c r="N12" s="124" t="str">
        <f>IF(M12&gt;T12,"W",IF(T12&gt;M12,"L","E"))</f>
        <v>E</v>
      </c>
      <c r="P12" s="126" t="str">
        <f>IF(N12="W",L12,IF(S12="W",U12,"CHAMPION"))</f>
        <v>CHAMPION</v>
      </c>
      <c r="Q12" s="127"/>
      <c r="S12" s="116" t="str">
        <f>IF(T12&gt;M12,"W",IF(M12&gt;T12,"L","E"))</f>
        <v>E</v>
      </c>
      <c r="T12" s="118"/>
      <c r="U12" s="124" t="str">
        <f>IF(X8="W",Z8,IF(X16="W",Z16,"FINAL"))</f>
        <v>FINAL</v>
      </c>
      <c r="W12" s="79"/>
    </row>
    <row r="13" spans="2:31" ht="9.75" customHeight="1" thickBot="1" x14ac:dyDescent="0.3">
      <c r="J13" s="78"/>
      <c r="K13" s="80"/>
      <c r="L13" s="117"/>
      <c r="M13" s="119"/>
      <c r="N13" s="125"/>
      <c r="O13" s="80"/>
      <c r="P13" s="112"/>
      <c r="Q13" s="113"/>
      <c r="R13" s="80"/>
      <c r="S13" s="117"/>
      <c r="T13" s="119"/>
      <c r="U13" s="125"/>
      <c r="V13" s="80"/>
      <c r="W13" s="79"/>
    </row>
    <row r="14" spans="2:31" ht="9.75" customHeight="1" thickBot="1" x14ac:dyDescent="0.3">
      <c r="B14" s="116" t="s">
        <v>10</v>
      </c>
      <c r="C14" s="118"/>
      <c r="D14" s="124" t="str">
        <f>IF(C14&gt;C18,"W",IF(C18&gt;C14,"L","E"))</f>
        <v>E</v>
      </c>
      <c r="J14" s="78"/>
      <c r="W14" s="79"/>
      <c r="AC14" s="116" t="str">
        <f>IF(AD14&gt;AD18,"W",IF(AD18&gt;AD14,"L","E"))</f>
        <v>E</v>
      </c>
      <c r="AD14" s="118"/>
      <c r="AE14" s="124" t="s">
        <v>15</v>
      </c>
    </row>
    <row r="15" spans="2:31" ht="9.75" customHeight="1" thickBot="1" x14ac:dyDescent="0.3">
      <c r="B15" s="117"/>
      <c r="C15" s="119"/>
      <c r="D15" s="125"/>
      <c r="E15" s="76"/>
      <c r="J15" s="78"/>
      <c r="P15" s="114" t="s">
        <v>24</v>
      </c>
      <c r="Q15" s="115"/>
      <c r="W15" s="79"/>
      <c r="AB15" s="77"/>
      <c r="AC15" s="117"/>
      <c r="AD15" s="119"/>
      <c r="AE15" s="125"/>
    </row>
    <row r="16" spans="2:31" ht="9.75" customHeight="1" x14ac:dyDescent="0.25">
      <c r="E16" s="78"/>
      <c r="G16" s="116" t="str">
        <f>IF(D14="W",B14,IF(D18="W",B18,"SEMIFINAL"))</f>
        <v>SEMIFINAL</v>
      </c>
      <c r="H16" s="118"/>
      <c r="I16" s="124" t="str">
        <f>IF(H16&gt;H8,"W",IF(H8&gt;H16,"L","E"))</f>
        <v>E</v>
      </c>
      <c r="J16" s="81"/>
      <c r="P16" s="120" t="str">
        <f>IF(N12="L",L12,IF(S12="L",U12,"RUNNER UP"))</f>
        <v>RUNNER UP</v>
      </c>
      <c r="Q16" s="121"/>
      <c r="W16" s="82"/>
      <c r="X16" s="116" t="str">
        <f>IF(Y16&gt;Y8,"W",IF(Y8&gt;Y16,"L","E"))</f>
        <v>E</v>
      </c>
      <c r="Y16" s="118"/>
      <c r="Z16" s="124" t="str">
        <f>IF(AC14="W",AE14,IF(AC18="W",AE18,"SEMIFINAL"))</f>
        <v>SEMIFINAL</v>
      </c>
      <c r="AB16" s="79"/>
    </row>
    <row r="17" spans="2:31" ht="9.75" customHeight="1" thickBot="1" x14ac:dyDescent="0.3">
      <c r="E17" s="78"/>
      <c r="F17" s="80"/>
      <c r="G17" s="117"/>
      <c r="H17" s="119"/>
      <c r="I17" s="125"/>
      <c r="J17" s="80"/>
      <c r="P17" s="122"/>
      <c r="Q17" s="123"/>
      <c r="W17" s="80"/>
      <c r="X17" s="117"/>
      <c r="Y17" s="119"/>
      <c r="Z17" s="125"/>
      <c r="AA17" s="80"/>
      <c r="AB17" s="79"/>
    </row>
    <row r="18" spans="2:31" ht="9.75" customHeight="1" x14ac:dyDescent="0.25">
      <c r="B18" s="116" t="s">
        <v>11</v>
      </c>
      <c r="C18" s="118"/>
      <c r="D18" s="124" t="str">
        <f>IF(C18&gt;C14,"W",IF(C14&gt;C18,"L","E"))</f>
        <v>E</v>
      </c>
      <c r="E18" s="81"/>
      <c r="AB18" s="82"/>
      <c r="AC18" s="116" t="str">
        <f>IF(AD18&gt;AD14,"W",IF(AD14&gt;AD18,"L","E"))</f>
        <v>E</v>
      </c>
      <c r="AD18" s="118"/>
      <c r="AE18" s="124" t="s">
        <v>16</v>
      </c>
    </row>
    <row r="19" spans="2:31" ht="9.75" customHeight="1" thickBot="1" x14ac:dyDescent="0.3">
      <c r="B19" s="117"/>
      <c r="C19" s="119"/>
      <c r="D19" s="125"/>
      <c r="E19" s="80"/>
      <c r="AB19" s="80"/>
      <c r="AC19" s="117"/>
      <c r="AD19" s="119"/>
      <c r="AE19" s="125"/>
    </row>
    <row r="20" spans="2:31" ht="9.75" customHeight="1" thickBot="1" x14ac:dyDescent="0.3">
      <c r="K20" s="96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8"/>
    </row>
    <row r="21" spans="2:31" ht="9.75" customHeight="1" thickBot="1" x14ac:dyDescent="0.3">
      <c r="K21" s="99"/>
      <c r="L21" s="36"/>
      <c r="M21" s="36"/>
      <c r="N21" s="36"/>
      <c r="O21" s="36"/>
      <c r="P21" s="114" t="s">
        <v>23</v>
      </c>
      <c r="Q21" s="115"/>
      <c r="R21" s="36"/>
      <c r="S21" s="36"/>
      <c r="T21" s="36"/>
      <c r="U21" s="36"/>
      <c r="V21" s="100"/>
    </row>
    <row r="22" spans="2:31" ht="9.75" customHeight="1" x14ac:dyDescent="0.25">
      <c r="B22" s="83"/>
      <c r="C22" s="83"/>
      <c r="D22" s="83"/>
      <c r="K22" s="99"/>
      <c r="L22" s="116" t="str">
        <f>IF(I8="L",G8,IF(I16="L",G16,"JUARA 3/4"))</f>
        <v>JUARA 3/4</v>
      </c>
      <c r="M22" s="118"/>
      <c r="N22" s="124" t="str">
        <f>IF(M22&gt;T22,"W",IF(T22&gt;M22,"L","E"))</f>
        <v>E</v>
      </c>
      <c r="O22" s="36"/>
      <c r="P22" s="110" t="str">
        <f>IF(N22="W",L22,IF(S22="W",U22,"JUARA 3"))</f>
        <v>JUARA 3</v>
      </c>
      <c r="Q22" s="111"/>
      <c r="R22" s="36"/>
      <c r="S22" s="116" t="str">
        <f>IF(T22&gt;M22,"W",IF(M22&gt;T22,"L","E"))</f>
        <v>E</v>
      </c>
      <c r="T22" s="118"/>
      <c r="U22" s="124" t="str">
        <f>IF(X8="L",Z8,IF(X16="L",Z16,"JUARA3/4"))</f>
        <v>JUARA3/4</v>
      </c>
      <c r="V22" s="100"/>
    </row>
    <row r="23" spans="2:31" ht="9.75" customHeight="1" thickBot="1" x14ac:dyDescent="0.3">
      <c r="B23" s="83"/>
      <c r="C23" s="83"/>
      <c r="D23" s="83"/>
      <c r="K23" s="99"/>
      <c r="L23" s="117"/>
      <c r="M23" s="119"/>
      <c r="N23" s="125"/>
      <c r="O23" s="80"/>
      <c r="P23" s="112"/>
      <c r="Q23" s="113"/>
      <c r="R23" s="80"/>
      <c r="S23" s="117"/>
      <c r="T23" s="119"/>
      <c r="U23" s="125"/>
      <c r="V23" s="100"/>
    </row>
    <row r="24" spans="2:31" ht="9.75" customHeight="1" thickBot="1" x14ac:dyDescent="0.3">
      <c r="K24" s="99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100"/>
    </row>
    <row r="25" spans="2:31" ht="9.75" customHeight="1" thickBot="1" x14ac:dyDescent="0.3">
      <c r="K25" s="99"/>
      <c r="L25" s="36"/>
      <c r="M25" s="36"/>
      <c r="N25" s="36"/>
      <c r="O25" s="36"/>
      <c r="P25" s="114" t="s">
        <v>25</v>
      </c>
      <c r="Q25" s="115"/>
      <c r="R25" s="36"/>
      <c r="S25" s="36"/>
      <c r="T25" s="36"/>
      <c r="U25" s="36"/>
      <c r="V25" s="100"/>
    </row>
    <row r="26" spans="2:31" ht="9.75" customHeight="1" x14ac:dyDescent="0.25">
      <c r="B26" s="83"/>
      <c r="C26" s="83"/>
      <c r="D26" s="83"/>
      <c r="K26" s="99"/>
      <c r="L26" s="36"/>
      <c r="M26" s="36"/>
      <c r="N26" s="36"/>
      <c r="O26" s="36"/>
      <c r="P26" s="110" t="str">
        <f>IF(N22="L",L22,IF(S22="L",U22,"JUARA 4"))</f>
        <v>JUARA 4</v>
      </c>
      <c r="Q26" s="111"/>
      <c r="R26" s="36"/>
      <c r="S26" s="36"/>
      <c r="T26" s="36"/>
      <c r="U26" s="36"/>
      <c r="V26" s="100"/>
    </row>
    <row r="27" spans="2:31" ht="9.75" customHeight="1" thickBot="1" x14ac:dyDescent="0.3">
      <c r="B27" s="83"/>
      <c r="C27" s="83"/>
      <c r="D27" s="83"/>
      <c r="I27" s="36"/>
      <c r="J27" s="36"/>
      <c r="K27" s="99"/>
      <c r="L27" s="36"/>
      <c r="M27" s="36"/>
      <c r="N27" s="36"/>
      <c r="O27" s="36"/>
      <c r="P27" s="112"/>
      <c r="Q27" s="113"/>
      <c r="R27" s="36"/>
      <c r="S27" s="36"/>
      <c r="T27" s="36"/>
      <c r="U27" s="36"/>
      <c r="V27" s="100"/>
      <c r="W27" s="36"/>
      <c r="X27" s="36"/>
    </row>
    <row r="28" spans="2:31" ht="9.75" customHeight="1" thickBot="1" x14ac:dyDescent="0.3">
      <c r="K28" s="101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3"/>
    </row>
    <row r="29" spans="2:31" ht="9.75" customHeight="1" x14ac:dyDescent="0.25"/>
    <row r="30" spans="2:31" ht="9.75" customHeight="1" x14ac:dyDescent="0.25">
      <c r="B30" s="83"/>
      <c r="C30" s="83"/>
      <c r="D30" s="83"/>
    </row>
    <row r="31" spans="2:31" ht="9.75" customHeight="1" x14ac:dyDescent="0.25">
      <c r="B31" s="83"/>
      <c r="C31" s="83"/>
      <c r="D31" s="83"/>
    </row>
    <row r="32" spans="2:31" ht="9.75" customHeight="1" x14ac:dyDescent="0.25"/>
    <row r="33" spans="2:4" ht="9.75" customHeight="1" x14ac:dyDescent="0.25"/>
    <row r="34" spans="2:4" ht="9.75" customHeight="1" x14ac:dyDescent="0.25">
      <c r="B34" s="83"/>
      <c r="C34" s="83"/>
      <c r="D34" s="83"/>
    </row>
    <row r="35" spans="2:4" ht="9.75" customHeight="1" x14ac:dyDescent="0.25">
      <c r="B35" s="83"/>
      <c r="C35" s="83"/>
      <c r="D35" s="83"/>
    </row>
  </sheetData>
  <mergeCells count="58">
    <mergeCell ref="B1:AE2"/>
    <mergeCell ref="B3:AE4"/>
    <mergeCell ref="AC14:AC15"/>
    <mergeCell ref="AD14:AD15"/>
    <mergeCell ref="AE14:AE15"/>
    <mergeCell ref="X8:X9"/>
    <mergeCell ref="Y8:Y9"/>
    <mergeCell ref="Z8:Z9"/>
    <mergeCell ref="P10:Q11"/>
    <mergeCell ref="G8:G9"/>
    <mergeCell ref="H8:H9"/>
    <mergeCell ref="I8:I9"/>
    <mergeCell ref="AC18:AC19"/>
    <mergeCell ref="AD18:AD19"/>
    <mergeCell ref="AE18:AE19"/>
    <mergeCell ref="AC6:AC7"/>
    <mergeCell ref="AD6:AD7"/>
    <mergeCell ref="AE6:AE7"/>
    <mergeCell ref="AC10:AC11"/>
    <mergeCell ref="AD10:AD11"/>
    <mergeCell ref="AE10:AE11"/>
    <mergeCell ref="X16:X17"/>
    <mergeCell ref="Y16:Y17"/>
    <mergeCell ref="Z16:Z17"/>
    <mergeCell ref="L12:L13"/>
    <mergeCell ref="M12:M13"/>
    <mergeCell ref="N12:N13"/>
    <mergeCell ref="P12:Q13"/>
    <mergeCell ref="U12:U13"/>
    <mergeCell ref="T12:T13"/>
    <mergeCell ref="S12:S13"/>
    <mergeCell ref="U22:U23"/>
    <mergeCell ref="B18:B19"/>
    <mergeCell ref="C18:C19"/>
    <mergeCell ref="D18:D19"/>
    <mergeCell ref="B6:B7"/>
    <mergeCell ref="C6:C7"/>
    <mergeCell ref="D6:D7"/>
    <mergeCell ref="B10:B11"/>
    <mergeCell ref="C10:C11"/>
    <mergeCell ref="D10:D11"/>
    <mergeCell ref="G16:G17"/>
    <mergeCell ref="H16:H17"/>
    <mergeCell ref="I16:I17"/>
    <mergeCell ref="B14:B15"/>
    <mergeCell ref="C14:C15"/>
    <mergeCell ref="D14:D15"/>
    <mergeCell ref="T22:T23"/>
    <mergeCell ref="P16:Q17"/>
    <mergeCell ref="P22:Q23"/>
    <mergeCell ref="L22:L23"/>
    <mergeCell ref="M22:M23"/>
    <mergeCell ref="N22:N23"/>
    <mergeCell ref="P26:Q27"/>
    <mergeCell ref="P21:Q21"/>
    <mergeCell ref="P15:Q15"/>
    <mergeCell ref="P25:Q25"/>
    <mergeCell ref="S22:S23"/>
  </mergeCells>
  <conditionalFormatting sqref="D1:D1048576 I1:I1048576 N1:N20 S1:S20 X1:X1048576 AC1:AC1048576 N29 S29 N37:N1048576 N22:N27 S37:S1048576 S22:S27">
    <cfRule type="containsText" dxfId="5" priority="5" operator="containsText" text="L">
      <formula>NOT(ISERROR(SEARCH("L",D1)))</formula>
    </cfRule>
    <cfRule type="containsText" dxfId="4" priority="6" operator="containsText" text="W">
      <formula>NOT(ISERROR(SEARCH("W",D1)))</formula>
    </cfRule>
  </conditionalFormatting>
  <conditionalFormatting sqref="N22:N23">
    <cfRule type="containsText" dxfId="3" priority="3" operator="containsText" text="L">
      <formula>NOT(ISERROR(SEARCH("L",N22)))</formula>
    </cfRule>
    <cfRule type="containsText" dxfId="2" priority="4" operator="containsText" text="W">
      <formula>NOT(ISERROR(SEARCH("W",N22)))</formula>
    </cfRule>
  </conditionalFormatting>
  <conditionalFormatting sqref="S22:S23">
    <cfRule type="containsText" dxfId="1" priority="1" operator="containsText" text="L">
      <formula>NOT(ISERROR(SEARCH("L",S22)))</formula>
    </cfRule>
    <cfRule type="containsText" dxfId="0" priority="2" operator="containsText" text="W">
      <formula>NOT(ISERROR(SEARCH("W",S22)))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Stage</vt:lpstr>
      <vt:lpstr>Final 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ME_SYP</dc:creator>
  <cp:lastModifiedBy>ME_SYP</cp:lastModifiedBy>
  <dcterms:created xsi:type="dcterms:W3CDTF">2025-12-12T01:11:57Z</dcterms:created>
  <dcterms:modified xsi:type="dcterms:W3CDTF">2025-12-27T07:45:33Z</dcterms:modified>
</cp:coreProperties>
</file>